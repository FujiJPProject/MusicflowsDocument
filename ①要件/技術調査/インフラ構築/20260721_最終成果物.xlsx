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39edab467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前提・概要" sheetId="1" r:id="R30d4d0352de5477c"/>
    <x:sheet xmlns:r="http://schemas.openxmlformats.org/officeDocument/2006/relationships" name="構成案比較" sheetId="2" r:id="R4fb64e8426a940c5"/>
    <x:sheet xmlns:r="http://schemas.openxmlformats.org/officeDocument/2006/relationships" name="AWSサービス一覧" sheetId="3" r:id="Rda2f5f2bafcc4a24"/>
    <x:sheet xmlns:r="http://schemas.openxmlformats.org/officeDocument/2006/relationships" name="Terraformフォルダ構成" sheetId="4" r:id="R6647fb6151284a31"/>
    <x:sheet xmlns:r="http://schemas.openxmlformats.org/officeDocument/2006/relationships" name="構築手順" sheetId="5" r:id="R408aed7d1fec4850"/>
    <x:sheet xmlns:r="http://schemas.openxmlformats.org/officeDocument/2006/relationships" name="コスト試算" sheetId="6" r:id="R900432114ba04345"/>
    <x:sheet xmlns:r="http://schemas.openxmlformats.org/officeDocument/2006/relationships" name="セキュリティ・運用" sheetId="7" r:id="Rf56f7e4762ab4e5e"/>
    <x:sheet xmlns:r="http://schemas.openxmlformats.org/officeDocument/2006/relationships" name="動作確認・削除" sheetId="8" r:id="R46fcded7342544a2"/>
    <x:sheet xmlns:r="http://schemas.openxmlformats.org/officeDocument/2006/relationships" name="出典・要確認事項" sheetId="9" r:id="Rdc88adc45bdb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¥#,##0"/>
  </x:numFmts>
  <x:fonts count="15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color rgb="FF274E13"/>
      <x:name val="Carlito"/>
    </x:font>
    <x:font>
      <x:b/>
      <x:sz val="9"/>
      <x:color rgb="FF0B5394"/>
      <x:name val="Carlito"/>
    </x:font>
    <x:font>
      <x:b/>
      <x:sz val="9"/>
      <x:color rgb="FF7F6000"/>
      <x:name val="Carlito"/>
    </x:font>
    <x:font>
      <x:b/>
      <x:sz val="9"/>
      <x:color rgb="FF674EA7"/>
      <x:name val="Carlito"/>
    </x:font>
    <x:font>
      <x:b/>
      <x:sz val="9"/>
      <x:color rgb="FF990000"/>
      <x:name val="Carlito"/>
    </x:font>
    <x:font>
      <x:b/>
      <x:sz val="9"/>
      <x:color rgb="FF7F0000"/>
      <x:name val="Carlito"/>
    </x:font>
    <x:font>
      <x:b/>
      <x:sz val="11"/>
      <x:color rgb="FF1F2937"/>
      <x:name val="Carlito"/>
    </x:font>
    <x:font>
      <x:sz val="9"/>
      <x:name val="Consolas"/>
    </x:font>
    <x:font>
      <x:b/>
      <x:sz val="9"/>
      <x:color rgb="FF666666"/>
      <x:name val="Carlito"/>
    </x:font>
    <x:font>
      <x:b/>
      <x:sz val="9"/>
      <x:name val="Carlito"/>
    </x:font>
    <x:font>
      <x:b/>
      <x:sz val="9"/>
      <x:color rgb="FFB45F06"/>
      <x:name val="Carlito"/>
    </x:font>
    <x:font>
      <x:b/>
      <x:sz val="9"/>
      <x:color rgb="FF1F293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DCF8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FCE5CD"/>
      </x:patternFill>
    </x:fill>
  </x:fills>
  <x:borders count="2">
    <x:border/>
    <x:border/>
  </x:borders>
  <x:cellStyleXfs count="1">
    <x:xf numFmtId="0" fontId="0" fillId="0" borderId="0"/>
  </x:cellStyleXfs>
  <x:cellXfs count="1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horizontal="center" vertical="top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horizontal="center" vertical="top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horizontal="center" vertical="top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horizontal="center" vertical="top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left"/>
    </x:xf>
    <x:xf numFmtId="0" fontId="9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left"/>
    </x:xf>
    <x:xf numFmtId="0" fontId="9" fillId="4" borderId="1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0"/>
    </x:xf>
    <x:xf numFmtId="0" fontId="10" fillId="0" borderId="0" xfId="0" applyNumberFormat="1" applyFont="1" applyFill="1" applyBorder="1" applyAlignment="1">
      <x:alignment vertical="top" wrapText="0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0"/>
    </x:xf>
    <x:xf numFmtId="0" fontId="10" fillId="0" borderId="1" xfId="0" applyNumberFormat="1" applyFont="1" applyFill="1" applyBorder="1" applyAlignment="1">
      <x:alignment vertical="top" wrapText="0"/>
    </x:xf>
    <x:xf numFmtId="0" fontId="11" fillId="8" borderId="0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horizontal="center" vertical="top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11" fillId="8" borderId="1" xfId="0" applyNumberFormat="1" applyFont="1" applyFill="1" applyBorder="1" applyAlignment="1">
      <x:alignment vertical="top" wrapText="1"/>
    </x:xf>
    <x:xf numFmtId="0" fontId="11" fillId="8" borderId="1" xfId="0" applyNumberFormat="1" applyFont="1" applyFill="1" applyBorder="1" applyAlignment="1">
      <x:alignment horizontal="center" vertical="top" wrapText="1"/>
    </x:xf>
    <x:xf numFmtId="0" fontId="11" fillId="8" borderId="1" xfId="0" applyNumberFormat="1" applyFont="1" applyFill="1" applyBorder="1" applyAlignment="1">
      <x:alignment horizontal="center" vertical="center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2" fontId="2" fillId="0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horizontal="center" wrapText="1"/>
    </x:xf>
    <x:xf numFmtId="0" fontId="9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horizontal="center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horizontal="center"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horizontal="center"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horizontal="center" vertical="top" wrapText="1"/>
    </x:xf>
    <x:xf numFmtId="0" fontId="13" fillId="10" borderId="0" xfId="0" applyNumberFormat="1" applyFont="1" applyFill="1" applyBorder="1" applyAlignment="1">
      <x:alignment horizontal="center" vertical="center" wrapText="1"/>
    </x:xf>
    <x:xf numFmtId="0" fontId="2" fillId="10" borderId="1" xfId="0" applyNumberFormat="1" applyFont="1" applyFill="1" applyBorder="1" applyAlignment="1">
      <x:alignment vertical="top" wrapText="1"/>
    </x:xf>
    <x:xf numFmtId="0" fontId="13" fillId="10" borderId="1" xfId="0" applyNumberFormat="1" applyFont="1" applyFill="1" applyBorder="1" applyAlignment="1">
      <x:alignment vertical="top" wrapText="1"/>
    </x:xf>
    <x:xf numFmtId="0" fontId="13" fillId="10" borderId="1" xfId="0" applyNumberFormat="1" applyFont="1" applyFill="1" applyBorder="1" applyAlignment="1">
      <x:alignment horizontal="center" vertical="top" wrapText="1"/>
    </x:xf>
    <x:xf numFmtId="0" fontId="13" fillId="10" borderId="1" xfId="0" applyNumberFormat="1" applyFont="1" applyFill="1" applyBorder="1" applyAlignment="1">
      <x:alignment horizontal="center" vertical="center" wrapText="1"/>
    </x:xf>
    <x:xf numFmtId="202" fontId="2" fillId="9" borderId="0" xfId="0" applyNumberFormat="1" applyFont="1" applyFill="1" applyBorder="1" applyAlignment="1">
      <x:alignment vertical="top" wrapText="1"/>
    </x:xf>
    <x:xf numFmtId="0" fontId="12" fillId="9" borderId="0" xfId="0" applyNumberFormat="1" applyFont="1" applyFill="1" applyBorder="1" applyAlignment="1">
      <x:alignment horizontal="center" vertical="top" wrapText="1"/>
    </x:xf>
    <x:xf numFmtId="0" fontId="2" fillId="9" borderId="0" xfId="0" applyNumberFormat="1" applyFont="1" applyFill="1" applyBorder="1" applyAlignment="1">
      <x:alignment vertical="top" wrapText="1"/>
    </x:xf>
    <x:xf numFmtId="202" fontId="14" fillId="9" borderId="0" xfId="0" applyNumberFormat="1" applyFont="1" applyFill="1" applyBorder="1" applyAlignment="1">
      <x:alignment vertical="top" wrapText="1"/>
    </x:xf>
    <x:xf numFmtId="0" fontId="14" fillId="9" borderId="0" xfId="0" applyNumberFormat="1" applyFont="1" applyFill="1" applyBorder="1" applyAlignment="1">
      <x:alignment horizontal="center" vertical="top" wrapText="1"/>
    </x:xf>
    <x:xf numFmtId="0" fontId="14" fillId="9" borderId="0" xfId="0" applyNumberFormat="1" applyFont="1" applyFill="1" applyBorder="1" applyAlignment="1">
      <x:alignment vertical="top" wrapText="1"/>
    </x:xf>
    <x:xf numFmtId="202" fontId="14" fillId="9" borderId="0" xfId="0" applyNumberFormat="1" applyFont="1" applyFill="1" applyBorder="1" applyAlignment="1">
      <x:alignment horizontal="center" vertical="top" wrapText="1"/>
    </x:xf>
    <x:xf numFmtId="202" fontId="14" fillId="9" borderId="0" xfId="0" applyNumberFormat="1" applyFont="1" applyFill="1" applyBorder="1" applyAlignment="1">
      <x:alignment horizontal="center" vertical="center" wrapText="1"/>
    </x:xf>
    <x:xf numFmtId="0" fontId="14" fillId="9" borderId="0" xfId="0" applyNumberFormat="1" applyFont="1" applyFill="1" applyBorder="1" applyAlignment="1">
      <x:alignment horizontal="center" vertical="center" wrapText="1"/>
    </x:xf>
    <x:xf numFmtId="202" fontId="2" fillId="9" borderId="1" xfId="0" applyNumberFormat="1" applyFont="1" applyFill="1" applyBorder="1" applyAlignment="1">
      <x:alignment vertical="top" wrapText="1"/>
    </x:xf>
    <x:xf numFmtId="0" fontId="12" fillId="9" borderId="1" xfId="0" applyNumberFormat="1" applyFont="1" applyFill="1" applyBorder="1" applyAlignment="1">
      <x:alignment horizontal="center" vertical="top" wrapText="1"/>
    </x:xf>
    <x:xf numFmtId="0" fontId="2" fillId="9" borderId="1" xfId="0" applyNumberFormat="1" applyFont="1" applyFill="1" applyBorder="1" applyAlignment="1">
      <x:alignment vertical="top" wrapText="1"/>
    </x:xf>
    <x:xf numFmtId="202" fontId="14" fillId="9" borderId="1" xfId="0" applyNumberFormat="1" applyFont="1" applyFill="1" applyBorder="1" applyAlignment="1">
      <x:alignment vertical="top" wrapText="1"/>
    </x:xf>
    <x:xf numFmtId="0" fontId="14" fillId="9" borderId="1" xfId="0" applyNumberFormat="1" applyFont="1" applyFill="1" applyBorder="1" applyAlignment="1">
      <x:alignment horizontal="center" vertical="top" wrapText="1"/>
    </x:xf>
    <x:xf numFmtId="0" fontId="14" fillId="9" borderId="1" xfId="0" applyNumberFormat="1" applyFont="1" applyFill="1" applyBorder="1" applyAlignment="1">
      <x:alignment vertical="top" wrapText="1"/>
    </x:xf>
    <x:xf numFmtId="202" fontId="14" fillId="9" borderId="1" xfId="0" applyNumberFormat="1" applyFont="1" applyFill="1" applyBorder="1" applyAlignment="1">
      <x:alignment horizontal="center" vertical="top" wrapText="1"/>
    </x:xf>
    <x:xf numFmtId="202" fontId="14" fillId="9" borderId="1" xfId="0" applyNumberFormat="1" applyFont="1" applyFill="1" applyBorder="1" applyAlignment="1">
      <x:alignment horizontal="center" vertical="center" wrapText="1"/>
    </x:xf>
    <x:xf numFmtId="0" fontId="14" fillId="9" borderId="1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</x:cellXfs>
  <x:cellStyles count="1">
    <x:cellStyle name="Normal" xfId="0"/>
  </x:cellStyles>
  <x:dxfs count="11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674EA7"/>
      </x:font>
      <x:fill>
        <x:patternFill patternType="solid">
          <x:bgColor rgb="FFEADCF8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398b4afc04a11" /><Relationship Type="http://schemas.openxmlformats.org/officeDocument/2006/relationships/theme" Target="/xl/theme/theme1.xml" Id="R4e17c2c9b43a4eeb" /><Relationship Type="http://schemas.openxmlformats.org/officeDocument/2006/relationships/sharedStrings" Target="/xl/sharedStrings.xml" Id="R3a64ef011eb54ba3" /><Relationship Type="http://schemas.openxmlformats.org/officeDocument/2006/relationships/worksheet" Target="/xl/worksheets/sheet1.xml" Id="R30d4d0352de5477c" /><Relationship Type="http://schemas.openxmlformats.org/officeDocument/2006/relationships/worksheet" Target="/xl/worksheets/sheet2.xml" Id="R4fb64e8426a940c5" /><Relationship Type="http://schemas.openxmlformats.org/officeDocument/2006/relationships/worksheet" Target="/xl/worksheets/sheet3.xml" Id="Rda2f5f2bafcc4a24" /><Relationship Type="http://schemas.openxmlformats.org/officeDocument/2006/relationships/worksheet" Target="/xl/worksheets/sheet4.xml" Id="R6647fb6151284a31" /><Relationship Type="http://schemas.openxmlformats.org/officeDocument/2006/relationships/worksheet" Target="/xl/worksheets/sheet5.xml" Id="R408aed7d1fec4850" /><Relationship Type="http://schemas.openxmlformats.org/officeDocument/2006/relationships/worksheet" Target="/xl/worksheets/sheet6.xml" Id="R900432114ba04345" /><Relationship Type="http://schemas.openxmlformats.org/officeDocument/2006/relationships/worksheet" Target="/xl/worksheets/sheet7.xml" Id="Rf56f7e4762ab4e5e" /><Relationship Type="http://schemas.openxmlformats.org/officeDocument/2006/relationships/worksheet" Target="/xl/worksheets/sheet8.xml" Id="R46fcded7342544a2" /><Relationship Type="http://schemas.openxmlformats.org/officeDocument/2006/relationships/worksheet" Target="/xl/worksheets/sheet9.xml" Id="Rdc88adc45bdb42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134bd372bb4f0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月額コストシナリオ比較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月額（円）</c:v>
          </c:tx>
          <c:cat>
            <c:strRef>
              <c:f>'コスト試算'!$Y$21:$Y$23</c:f>
              <c:strCache>
                <c:ptCount val="0"/>
              </c:strCache>
            </c:strRef>
          </c:cat>
          <c:val>
            <c:numRef>
              <c:f>'コスト試算'!$Z$21:$Z$23</c:f>
              <c:numCache>
                <c:formatCode>¥#,##0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24</xdr:col>
      <xdr:colOff>0</xdr:colOff>
      <xdr:row>1</xdr:row>
      <xdr:rowOff>0</xdr:rowOff>
    </xdr:from>
    <xdr:to>
      <xdr:col>32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134bd372bb4f0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umptionsTable" displayName="AssumptionsTable" ref="A1:F32" headerRowCount="1">
  <x:tableColumns count="6">
    <x:tableColumn id="1" name="項目"/>
    <x:tableColumn id="2" name="内容"/>
    <x:tableColumn id="3" name="区分"/>
    <x:tableColumn id="4" name="仮定の有無"/>
    <x:tableColumn id="5" name="要確認事項"/>
    <x:tableColumn id="6" name="備考"/>
  </x:tableColumns>
  <x:tableStyleInfo name="TableStyleMedium2" showRowStripes="1"/>
</x:table>
</file>

<file path=xl/tables/table2.xml><?xml version="1.0" encoding="utf-8"?>
<x:table xmlns:x="http://schemas.openxmlformats.org/spreadsheetml/2006/main" id="2" name="ArchitectureCompareTable" displayName="ArchitectureCompareTable" ref="A1:G17" headerRowCount="1">
  <x:tableColumns count="7">
    <x:tableColumn id="1" name="評価項目"/>
    <x:tableColumn id="2" name="構成案A"/>
    <x:tableColumn id="3" name="構成案B"/>
    <x:tableColumn id="4" name="構成案C"/>
    <x:tableColumn id="5" name="推奨案"/>
    <x:tableColumn id="6" name="推奨理由"/>
    <x:tableColumn id="7" name="注意事項"/>
  </x:tableColumns>
  <x:tableStyleInfo name="TableStyleMedium2" showRowStripes="1"/>
</x:table>
</file>

<file path=xl/tables/table3.xml><?xml version="1.0" encoding="utf-8"?>
<x:table xmlns:x="http://schemas.openxmlformats.org/spreadsheetml/2006/main" id="3" name="AwsServicesTable" displayName="AwsServicesTable" ref="A1:O26" headerRowCount="1">
  <x:tableColumns count="15">
    <x:tableColumn id="1" name="No."/>
    <x:tableColumn id="2" name="サービス"/>
    <x:tableColumn id="3" name="分類"/>
    <x:tableColumn id="4" name="用途"/>
    <x:tableColumn id="5" name="採用理由"/>
    <x:tableColumn id="6" name="採用しない場合の影響"/>
    <x:tableColumn id="7" name="初期導入"/>
    <x:tableColumn id="8" name="将来導入"/>
    <x:tableColumn id="9" name="依存サービス"/>
    <x:tableColumn id="10" name="コスト要因"/>
    <x:tableColumn id="11" name="セキュリティ上の注意"/>
    <x:tableColumn id="12" name="運用上の注意"/>
    <x:tableColumn id="13" name="削除時の影響"/>
    <x:tableColumn id="14" name="推奨度"/>
    <x:tableColumn id="15" name="備考"/>
  </x:tableColumns>
  <x:tableStyleInfo name="TableStyleMedium2" showRowStripes="1"/>
</x:table>
</file>

<file path=xl/tables/table4.xml><?xml version="1.0" encoding="utf-8"?>
<x:table xmlns:x="http://schemas.openxmlformats.org/spreadsheetml/2006/main" id="4" name="TerraformPathsTable" displayName="TerraformPathsTable" ref="A1:N46" headerRowCount="1">
  <x:tableColumns count="14">
    <x:tableColumn id="1" name="No."/>
    <x:tableColumn id="2" name="パス"/>
    <x:tableColumn id="3" name="種別"/>
    <x:tableColumn id="4" name="役割"/>
    <x:tableColumn id="5" name="主なresource"/>
    <x:tableColumn id="6" name="主なmodule"/>
    <x:tableColumn id="7" name="主なdata source"/>
    <x:tableColumn id="8" name="主なvariables"/>
    <x:tableColumn id="9" name="主なlocals"/>
    <x:tableColumn id="10" name="主なoutputs"/>
    <x:tableColumn id="11" name="依存先"/>
    <x:tableColumn id="12" name="作成Step"/>
    <x:tableColumn id="13" name="削除時の注意"/>
    <x:tableColumn id="14" name="備考"/>
  </x:tableColumns>
  <x:tableStyleInfo name="TableStyleMedium2" showRowStripes="1"/>
</x:table>
</file>

<file path=xl/tables/table5.xml><?xml version="1.0" encoding="utf-8"?>
<x:table xmlns:x="http://schemas.openxmlformats.org/spreadsheetml/2006/main" id="5" name="BuildStepsTable" displayName="BuildStepsTable" ref="A1:W241" headerRowCount="1">
  <x:tableColumns count="23">
    <x:tableColumn id="1" name="Step"/>
    <x:tableColumn id="2" name="サブStep"/>
    <x:tableColumn id="3" name="フェーズ"/>
    <x:tableColumn id="4" name="対象サービス"/>
    <x:tableColumn id="5" name="目的"/>
    <x:tableColumn id="6" name="前提Step"/>
    <x:tableColumn id="7" name="対象ディレクトリ"/>
    <x:tableColumn id="8" name="対象ファイル"/>
    <x:tableColumn id="9" name="使用するresource"/>
    <x:tableColumn id="10" name="使用するmodule"/>
    <x:tableColumn id="11" name="実装内容"/>
    <x:tableColumn id="12" name="設定値・変数"/>
    <x:tableColumn id="13" name="Terraformコマンド"/>
    <x:tableColumn id="14" name="AWSでの確認方法"/>
    <x:tableColumn id="15" name="疎通・動作確認"/>
    <x:tableColumn id="16" name="成功条件"/>
    <x:tableColumn id="17" name="失敗時の確認点"/>
    <x:tableColumn id="18" name="コストへの影響"/>
    <x:tableColumn id="19" name="セキュリティ上の注意"/>
    <x:tableColumn id="20" name="削除方法"/>
    <x:tableColumn id="21" name="次のStepへの依存関係"/>
    <x:tableColumn id="22" name="状態"/>
    <x:tableColumn id="23" name="備考"/>
  </x:tableColumns>
  <x:tableStyleInfo name="TableStyleMedium2" showRowStripes="1"/>
</x:table>
</file>

<file path=xl/tables/table6.xml><?xml version="1.0" encoding="utf-8"?>
<x:table xmlns:x="http://schemas.openxmlformats.org/spreadsheetml/2006/main" id="6" name="CostTable" displayName="CostTable" ref="A1:R16" headerRowCount="1">
  <x:tableColumns count="18">
    <x:tableColumn id="1" name="No."/>
    <x:tableColumn id="2" name="サービス"/>
    <x:tableColumn id="3" name="課金項目"/>
    <x:tableColumn id="4" name="課金単位"/>
    <x:tableColumn id="5" name="最小利用量"/>
    <x:tableColumn id="6" name="標準利用量"/>
    <x:tableColumn id="7" name="増加時利用量"/>
    <x:tableColumn id="8" name="計算式"/>
    <x:tableColumn id="9" name="最小月額"/>
    <x:tableColumn id="10" name="標準月額"/>
    <x:tableColumn id="11" name="増加時月額"/>
    <x:tableColumn id="12" name="無料利用枠"/>
    <x:tableColumn id="13" name="100時間制御の可否"/>
    <x:tableColumn id="14" name="停止後も残る課金"/>
    <x:tableColumn id="15" name="コスト削減策"/>
    <x:tableColumn id="16" name="超過リスク"/>
    <x:tableColumn id="17" name="出典No."/>
    <x:tableColumn id="18" name="備考"/>
  </x:tableColumns>
  <x:tableStyleInfo name="TableStyleMedium2" showRowStripes="1"/>
</x:table>
</file>

<file path=xl/tables/table7.xml><?xml version="1.0" encoding="utf-8"?>
<x:table xmlns:x="http://schemas.openxmlformats.org/spreadsheetml/2006/main" id="7" name="SecurityOpsTable" displayName="SecurityOpsTable" ref="A1:N21" headerRowCount="1">
  <x:tableColumns count="14">
    <x:tableColumn id="1" name="No."/>
    <x:tableColumn id="2" name="分類"/>
    <x:tableColumn id="3" name="対象サービス"/>
    <x:tableColumn id="4" name="リスク"/>
    <x:tableColumn id="5" name="対策"/>
    <x:tableColumn id="6" name="初期導入の必要性"/>
    <x:tableColumn id="7" name="将来導入の必要性"/>
    <x:tableColumn id="8" name="実装方法"/>
    <x:tableColumn id="9" name="確認方法"/>
    <x:tableColumn id="10" name="コスト"/>
    <x:tableColumn id="11" name="運用頻度"/>
    <x:tableColumn id="12" name="担当"/>
    <x:tableColumn id="13" name="優先度"/>
    <x:tableColumn id="14" name="備考"/>
  </x:tableColumns>
  <x:tableStyleInfo name="TableStyleMedium2" showRowStripes="1"/>
</x:table>
</file>

<file path=xl/tables/table8.xml><?xml version="1.0" encoding="utf-8"?>
<x:table xmlns:x="http://schemas.openxmlformats.org/spreadsheetml/2006/main" id="8" name="ValidationDeleteTable" displayName="ValidationDeleteTable" ref="A1:O36" headerRowCount="1">
  <x:tableColumns count="15">
    <x:tableColumn id="1" name="No."/>
    <x:tableColumn id="2" name="対象サービス"/>
    <x:tableColumn id="3" name="確認分類"/>
    <x:tableColumn id="4" name="事前条件"/>
    <x:tableColumn id="5" name="確認手順"/>
    <x:tableColumn id="6" name="使用コマンド"/>
    <x:tableColumn id="7" name="期待結果"/>
    <x:tableColumn id="8" name="失敗時の確認点"/>
    <x:tableColumn id="9" name="削除順序"/>
    <x:tableColumn id="10" name="削除コマンド"/>
    <x:tableColumn id="11" name="手動削除の要否"/>
    <x:tableColumn id="12" name="削除後の確認"/>
    <x:tableColumn id="13" name="残存課金の確認"/>
    <x:tableColumn id="14" name="バックアップの扱い"/>
    <x:tableColumn id="15" name="備考"/>
  </x:tableColumns>
  <x:tableStyleInfo name="TableStyleMedium2" showRowStripes="1"/>
</x:table>
</file>

<file path=xl/tables/table9.xml><?xml version="1.0" encoding="utf-8"?>
<x:table xmlns:x="http://schemas.openxmlformats.org/spreadsheetml/2006/main" id="9" name="SourcesIssuesTable" displayName="SourcesIssuesTable" ref="A1:M57" headerRowCount="1">
  <x:tableColumns count="13">
    <x:tableColumn id="1" name="No."/>
    <x:tableColumn id="2" name="区分"/>
    <x:tableColumn id="3" name="対象"/>
    <x:tableColumn id="4" name="出典名"/>
    <x:tableColumn id="5" name="URL"/>
    <x:tableColumn id="6" name="参照日"/>
    <x:tableColumn id="7" name="確認内容"/>
    <x:tableColumn id="8" name="情報の確度"/>
    <x:tableColumn id="9" name="変更可能性"/>
    <x:tableColumn id="10" name="要確認事項"/>
    <x:tableColumn id="11" name="対応案"/>
    <x:tableColumn id="12" name="状態"/>
    <x:tableColumn id="13" name="備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3ddee290cb41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503b0a872949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1bb1da9ffd4a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35808224b544f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ac51f3c229549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8cc8fc06724b4729" /><Relationship Type="http://schemas.openxmlformats.org/officeDocument/2006/relationships/table" Target="/xl/tables/table6.xml" Id="R1e4a2c9c150c4c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dca3cc0a9fc41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6a8128ff4f84d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2e2e0dc200547a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14" hidden="0" customWidth="1"/>
    <x:col min="4" max="4" width="14" hidden="0" customWidth="1"/>
    <x:col min="5" max="5" width="34" hidden="0" customWidth="1"/>
    <x:col min="6" max="6" width="40" hidden="0" customWidth="1"/>
  </x:cols>
  <x:sheetData>
    <x:row r="1" ht="34" customHeight="1">
      <x:c r="A1" s="6" t="str">
        <x:v>項目</x:v>
      </x:c>
      <x:c r="B1" s="6" t="str">
        <x:v>内容</x:v>
      </x:c>
      <x:c r="C1" s="6" t="str">
        <x:v>区分</x:v>
      </x:c>
      <x:c r="D1" s="6" t="str">
        <x:v>仮定の有無</x:v>
      </x:c>
      <x:c r="E1" s="6" t="str">
        <x:v>要確認事項</x:v>
      </x:c>
      <x:c r="F1" s="6" t="str">
        <x:v>備考</x:v>
      </x:c>
    </x:row>
    <x:row r="2" ht="44" customHeight="1">
      <x:c r="A2" s="14" t="str">
        <x:v>システム概要</x:v>
      </x:c>
      <x:c r="B2" s="14" t="str">
        <x:v>ブラウザ上でDAW機能を提供し、認証済みユーザーが楽曲プロジェクトと音声ファイルを保存・編集する小規模Webサービス。</x:v>
      </x:c>
      <x:c r="C2" s="23" t="str">
        <x:v>確定</x:v>
      </x:c>
      <x:c r="D2" s="14" t="str">
        <x:v>なし</x:v>
      </x:c>
      <x:c r="E2" s="14" t="str">
        <x:v>なし</x:v>
      </x:c>
      <x:c r="F2" s="14" t="str">
        <x:v>開発・検証環境1つを対象。</x:v>
      </x:c>
    </x:row>
    <x:row r="3" ht="44" customHeight="1">
      <x:c r="A3" s="14" t="str">
        <x:v>対象ユーザー</x:v>
      </x:c>
      <x:c r="B3" s="14" t="str">
        <x:v>音楽制作を始める初心者から小規模な個人制作者。Terraform・AWS経験のない開発担当者も本手順書の利用者に含む。</x:v>
      </x:c>
      <x:c r="C3" s="31" t="str">
        <x:v>方針</x:v>
      </x:c>
      <x:c r="D3" s="14" t="str">
        <x:v>なし</x:v>
      </x:c>
      <x:c r="E3" s="14" t="str">
        <x:v>実際の同時利用者数</x:v>
      </x:c>
      <x:c r="F3" s="14" t="str">
        <x:v>UIは専門用語を最小化する。</x:v>
      </x:c>
    </x:row>
    <x:row r="4" ht="44" customHeight="1">
      <x:c r="A4" s="14" t="str">
        <x:v>アプリケーション概要</x:v>
      </x:c>
      <x:c r="B4" s="14" t="str">
        <x:v>ReactでDAW画面を提供し、Spring Boot APIでプロジェクト情報を管理。音声本体はS3へ直接アップロードし、非同期処理で変換・波形生成を行う。</x:v>
      </x:c>
      <x:c r="C4" s="23" t="str">
        <x:v>確定</x:v>
      </x:c>
      <x:c r="D4" s="14" t="str">
        <x:v>なし</x:v>
      </x:c>
      <x:c r="E4" s="14" t="str">
        <x:v>音声変換仕様</x:v>
      </x:c>
      <x:c r="F4" s="14" t="str">
        <x:v>大容量音声をAPI Gateway経由で送らない。</x:v>
      </x:c>
    </x:row>
    <x:row r="5" ht="44" customHeight="1">
      <x:c r="A5" s="14" t="str">
        <x:v>フロントエンド</x:v>
      </x:c>
      <x:c r="B5" s="14" t="str">
        <x:v>React 19。Next.jsは使用しない。S3非公開バケット + CloudFront OACで配信。</x:v>
      </x:c>
      <x:c r="C5" s="23" t="str">
        <x:v>確定</x:v>
      </x:c>
      <x:c r="D5" s="14" t="str">
        <x:v>なし</x:v>
      </x:c>
      <x:c r="E5" s="14" t="str">
        <x:v>React 19の実装時点の依存関係</x:v>
      </x:c>
      <x:c r="F5" s="14" t="str">
        <x:v>SPAフォールバックをCloudFrontで設定。</x:v>
      </x:c>
    </x:row>
    <x:row r="6" ht="44" customHeight="1">
      <x:c r="A6" s="14" t="str">
        <x:v>バックエンド</x:v>
      </x:c>
      <x:c r="B6" s="14" t="str">
        <x:v>Spring Boot 4.1.xをAWS Lambdaで実行。AWS Serverless Java Container 3.x、SnapStart、arm64を候補とする。</x:v>
      </x:c>
      <x:c r="C6" s="31" t="str">
        <x:v>方針</x:v>
      </x:c>
      <x:c r="D6" s="14" t="str">
        <x:v>あり</x:v>
      </x:c>
      <x:c r="E6" s="14" t="str">
        <x:v>依存ライブラリ統合試験</x:v>
      </x:c>
      <x:c r="F6" s="14" t="str">
        <x:v>問題時はJava 21へ切替。</x:v>
      </x:c>
    </x:row>
    <x:row r="7" ht="44" customHeight="1">
      <x:c r="A7" s="14" t="str">
        <x:v>Java</x:v>
      </x:c>
      <x:c r="B7" s="14" t="str">
        <x:v>Java 25を条件付き採用。Lambda java25管理ランタイムを使用する。</x:v>
      </x:c>
      <x:c r="C7" s="31" t="str">
        <x:v>方針</x:v>
      </x:c>
      <x:c r="D7" s="14" t="str">
        <x:v>あり</x:v>
      </x:c>
      <x:c r="E7" s="14" t="str">
        <x:v>Gradle・JPA・JDBC・AWSライブラリ互換性</x:v>
      </x:c>
      <x:c r="F7" s="14" t="str">
        <x:v>ZIP/JAR配布ではAOTキャッシュを成果物へ含めない。</x:v>
      </x:c>
    </x:row>
    <x:row r="8" ht="44" customHeight="1">
      <x:c r="A8" s="14" t="str">
        <x:v>データベース</x:v>
      </x:c>
      <x:c r="B8" s="14" t="str">
        <x:v>Amazon RDS for PostgreSQL、Single-AZ、db.t4g.micro、gp3 20GB。</x:v>
      </x:c>
      <x:c r="C8" s="39" t="str">
        <x:v>仮定</x:v>
      </x:c>
      <x:c r="D8" s="14" t="str">
        <x:v>あり</x:v>
      </x:c>
      <x:c r="E8" s="14" t="str">
        <x:v>東京リージョンの最新単価と性能</x:v>
      </x:c>
      <x:c r="F8" s="14" t="str">
        <x:v>RDSは非公開。</x:v>
      </x:c>
    </x:row>
    <x:row r="9" ht="44" customHeight="1">
      <x:c r="A9" s="14" t="str">
        <x:v>音声ファイル保存</x:v>
      </x:c>
      <x:c r="B9" s="14" t="str">
        <x:v>Amazon S3。キーは users/{cognito-sub}/projects/{project-id}/... 形式。</x:v>
      </x:c>
      <x:c r="C9" s="31" t="str">
        <x:v>方針</x:v>
      </x:c>
      <x:c r="D9" s="14" t="str">
        <x:v>なし</x:v>
      </x:c>
      <x:c r="E9" s="14" t="str">
        <x:v>平均・最大ファイルサイズ</x:v>
      </x:c>
      <x:c r="F9" s="14" t="str">
        <x:v>Block Public Accessを有効化。</x:v>
      </x:c>
    </x:row>
    <x:row r="10" ht="44" customHeight="1">
      <x:c r="A10" s="14" t="str">
        <x:v>大容量アップロード</x:v>
      </x:c>
      <x:c r="B10" s="14" t="str">
        <x:v>S3署名付きURLとMultipart Upload。100MB以上をMultipartの目安とする。</x:v>
      </x:c>
      <x:c r="C10" s="31" t="str">
        <x:v>方針</x:v>
      </x:c>
      <x:c r="D10" s="14" t="str">
        <x:v>あり</x:v>
      </x:c>
      <x:c r="E10" s="14" t="str">
        <x:v>最大ファイルサイズ・分割サイズ</x:v>
      </x:c>
      <x:c r="F10" s="14" t="str">
        <x:v>未完了Multipartはライフサイクルで中止。</x:v>
      </x:c>
    </x:row>
    <x:row r="11" ht="44" customHeight="1">
      <x:c r="A11" s="14" t="str">
        <x:v>非同期処理</x:v>
      </x:c>
      <x:c r="B11" s="14" t="str">
        <x:v>S3 ObjectCreated → Amazon SQS → Audio Worker Lambda。DLQを使用し、冪等処理とする。</x:v>
      </x:c>
      <x:c r="C11" s="23" t="str">
        <x:v>確定</x:v>
      </x:c>
      <x:c r="D11" s="14" t="str">
        <x:v>なし</x:v>
      </x:c>
      <x:c r="E11" s="14" t="str">
        <x:v>平均処理時間とメモリ</x:v>
      </x:c>
      <x:c r="F11" s="14" t="str">
        <x:v>15分超過時はFargate/Batchを再検討。</x:v>
      </x:c>
    </x:row>
    <x:row r="12" ht="44" customHeight="1">
      <x:c r="A12" s="14" t="str">
        <x:v>認証・認可</x:v>
      </x:c>
      <x:c r="B12" s="14" t="str">
        <x:v>Amazon Cognito User Pool + API Gateway HTTP API JWT Authorizer。Cognito subを所有者IDとして使用。</x:v>
      </x:c>
      <x:c r="C12" s="23" t="str">
        <x:v>確定</x:v>
      </x:c>
      <x:c r="D12" s="14" t="str">
        <x:v>なし</x:v>
      </x:c>
      <x:c r="E12" s="14" t="str">
        <x:v>MFAを初期必須にするか</x:v>
      </x:c>
      <x:c r="F12" s="14" t="str">
        <x:v>リクエスト本文のownerIdを信用しない。</x:v>
      </x:c>
    </x:row>
    <x:row r="13" ht="44" customHeight="1">
      <x:c r="A13" s="14" t="str">
        <x:v>AWSリージョン</x:v>
      </x:c>
      <x:c r="B13" s="14" t="str">
        <x:v>ap-northeast-1（東京）。CloudFront用ACM証明書のみus-east-1。</x:v>
      </x:c>
      <x:c r="C13" s="23" t="str">
        <x:v>確定</x:v>
      </x:c>
      <x:c r="D13" s="14" t="str">
        <x:v>なし</x:v>
      </x:c>
      <x:c r="E13" s="14" t="str">
        <x:v>なし</x:v>
      </x:c>
      <x:c r="F13" s="14" t="str">
        <x:v>Provider aliasを使用。</x:v>
      </x:c>
    </x:row>
    <x:row r="14" ht="44" customHeight="1">
      <x:c r="A14" s="14" t="str">
        <x:v>環境</x:v>
      </x:c>
      <x:c r="B14" s="14" t="str">
        <x:v>dev環境1つ。学習用サービスはsandboxes/dev配下でstateを分離。</x:v>
      </x:c>
      <x:c r="C14" s="23" t="str">
        <x:v>確定</x:v>
      </x:c>
      <x:c r="D14" s="14" t="str">
        <x:v>なし</x:v>
      </x:c>
      <x:c r="E14" s="14" t="str">
        <x:v>staging/prod追加時期</x:v>
      </x:c>
      <x:c r="F14" s="14" t="str">
        <x:v>Workspace方式は採用しない。</x:v>
      </x:c>
    </x:row>
    <x:row r="15" ht="44" customHeight="1">
      <x:c r="A15" s="14" t="str">
        <x:v>Terraform本体</x:v>
      </x:c>
      <x:c r="B15" s="14" t="str">
        <x:v>Terraform 1.15.8を固定する計画。</x:v>
      </x:c>
      <x:c r="C15" s="39" t="str">
        <x:v>仮定</x:v>
      </x:c>
      <x:c r="D15" s="14" t="str">
        <x:v>あり</x:v>
      </x:c>
      <x:c r="E15" s="14" t="str">
        <x:v>実装開始時の最新パッチ</x:v>
      </x:c>
      <x:c r="F15" s="14" t="str">
        <x:v>専用PRで更新。</x:v>
      </x:c>
    </x:row>
    <x:row r="16" ht="44" customHeight="1">
      <x:c r="A16" s="14" t="str">
        <x:v>AWS Provider</x:v>
      </x:c>
      <x:c r="B16" s="14" t="str">
        <x:v>hashicorp/aws 6.55.0を固定する計画。</x:v>
      </x:c>
      <x:c r="C16" s="39" t="str">
        <x:v>仮定</x:v>
      </x:c>
      <x:c r="D16" s="14" t="str">
        <x:v>あり</x:v>
      </x:c>
      <x:c r="E16" s="14" t="str">
        <x:v>実装開始時の最新互換版</x:v>
      </x:c>
      <x:c r="F16" s="14" t="str">
        <x:v>.terraform.lock.hclをコミット。</x:v>
      </x:c>
    </x:row>
    <x:row r="17" ht="44" customHeight="1">
      <x:c r="A17" s="14" t="str">
        <x:v>tfstate</x:v>
      </x:c>
      <x:c r="B17" s="14" t="str">
        <x:v>専用S3バケットへ保存。Versioning、暗号化、Block Public Accessを有効化。</x:v>
      </x:c>
      <x:c r="C17" s="31" t="str">
        <x:v>方針</x:v>
      </x:c>
      <x:c r="D17" s="14" t="str">
        <x:v>なし</x:v>
      </x:c>
      <x:c r="E17" s="14" t="str">
        <x:v>SSE-S3かSSE-KMSの最終選択</x:v>
      </x:c>
      <x:c r="F17" s="14" t="str">
        <x:v>stateは機密情報として扱う。</x:v>
      </x:c>
    </x:row>
    <x:row r="18" ht="44" customHeight="1">
      <x:c r="A18" s="14" t="str">
        <x:v>state locking</x:v>
      </x:c>
      <x:c r="B18" s="14" t="str">
        <x:v>S3 backendのuse_lockfile=trueを使用。DynamoDBロックは新規採用しない。</x:v>
      </x:c>
      <x:c r="C18" s="23" t="str">
        <x:v>確定</x:v>
      </x:c>
      <x:c r="D18" s="14" t="str">
        <x:v>なし</x:v>
      </x:c>
      <x:c r="E18" s="14" t="str">
        <x:v>Terraform実装時の再確認</x:v>
      </x:c>
      <x:c r="F18" s="14" t="str">
        <x:v>.tflockオブジェクトを利用。</x:v>
      </x:c>
    </x:row>
    <x:row r="19" ht="44" customHeight="1">
      <x:c r="A19" s="14" t="str">
        <x:v>環境差分</x:v>
      </x:c>
      <x:c r="B19" s="14" t="str">
        <x:v>環境別ディレクトリ方式。backend keyとtfvarsを環境ごとに分離。</x:v>
      </x:c>
      <x:c r="C19" s="23" t="str">
        <x:v>確定</x:v>
      </x:c>
      <x:c r="D19" s="14" t="str">
        <x:v>なし</x:v>
      </x:c>
      <x:c r="E19" s="14" t="str">
        <x:v>なし</x:v>
      </x:c>
      <x:c r="F19" s="14" t="str">
        <x:v>Workspace選択ミスを回避。</x:v>
      </x:c>
    </x:row>
    <x:row r="20" ht="44" customHeight="1">
      <x:c r="A20" s="14" t="str">
        <x:v>機密情報管理</x:v>
      </x:c>
      <x:c r="B20" s="14" t="str">
        <x:v>平文をTerraformコード・tfvars・outputsへ記載しない。RDSマスターはSecrets Manager管理、通常接続はIAM DB認証。</x:v>
      </x:c>
      <x:c r="C20" s="31" t="str">
        <x:v>方針</x:v>
      </x:c>
      <x:c r="D20" s="14" t="str">
        <x:v>なし</x:v>
      </x:c>
      <x:c r="E20" s="14" t="str">
        <x:v>初回DBユーザー作成方法</x:v>
      </x:c>
      <x:c r="F20" s="14" t="str">
        <x:v>CIはGitHub Actions OIDC。</x:v>
      </x:c>
    </x:row>
    <x:row r="21" ht="44" customHeight="1">
      <x:c r="A21" s="14" t="str">
        <x:v>利用量：RDS</x:v>
      </x:c>
      <x:c r="B21" s="14" t="str">
        <x:v>最小40時間、標準100時間、増加時730時間。</x:v>
      </x:c>
      <x:c r="C21" s="39" t="str">
        <x:v>仮定</x:v>
      </x:c>
      <x:c r="D21" s="14" t="str">
        <x:v>あり</x:v>
      </x:c>
      <x:c r="E21" s="14" t="str">
        <x:v>実際の開発時間</x:v>
      </x:c>
      <x:c r="F21" s="14" t="str">
        <x:v>停止中もストレージ・バックアップ課金が残る。</x:v>
      </x:c>
    </x:row>
    <x:row r="22" ht="44" customHeight="1">
      <x:c r="A22" s="14" t="str">
        <x:v>利用量：S3</x:v>
      </x:c>
      <x:c r="B22" s="14" t="str">
        <x:v>最小10GB、標準50GB、増加時200GB。</x:v>
      </x:c>
      <x:c r="C22" s="39" t="str">
        <x:v>仮定</x:v>
      </x:c>
      <x:c r="D22" s="14" t="str">
        <x:v>あり</x:v>
      </x:c>
      <x:c r="E22" s="14" t="str">
        <x:v>音声容量・保存期間</x:v>
      </x:c>
      <x:c r="F22" s="14" t="str">
        <x:v>ライフサイクルで旧データを整理。</x:v>
      </x:c>
    </x:row>
    <x:row r="23" ht="44" customHeight="1">
      <x:c r="A23" s="14" t="str">
        <x:v>利用量：API</x:v>
      </x:c>
      <x:c r="B23" s="14" t="str">
        <x:v>最小5,000件、標準100,000件、増加時1,000,000件/月。</x:v>
      </x:c>
      <x:c r="C23" s="39" t="str">
        <x:v>仮定</x:v>
      </x:c>
      <x:c r="D23" s="14" t="str">
        <x:v>あり</x:v>
      </x:c>
      <x:c r="E23" s="14" t="str">
        <x:v>実測リクエスト数</x:v>
      </x:c>
      <x:c r="F23" s="14" t="str">
        <x:v>HTTP APIを使用。</x:v>
      </x:c>
    </x:row>
    <x:row r="24" ht="44" customHeight="1">
      <x:c r="A24" s="14" t="str">
        <x:v>利用量：CloudFront</x:v>
      </x:c>
      <x:c r="B24" s="14" t="str">
        <x:v>最小5GB、標準50GB、増加時500GB/月。</x:v>
      </x:c>
      <x:c r="C24" s="39" t="str">
        <x:v>仮定</x:v>
      </x:c>
      <x:c r="D24" s="14" t="str">
        <x:v>あり</x:v>
      </x:c>
      <x:c r="E24" s="14" t="str">
        <x:v>音声再生量</x:v>
      </x:c>
      <x:c r="F24" s="14" t="str">
        <x:v>無料枠は主計算から除外。</x:v>
      </x:c>
    </x:row>
    <x:row r="25" ht="44" customHeight="1">
      <x:c r="A25" s="14" t="str">
        <x:v>利用量：CloudWatch Logs</x:v>
      </x:c>
      <x:c r="B25" s="14" t="str">
        <x:v>最小0.5GB、標準2GB、増加時10GB/月。</x:v>
      </x:c>
      <x:c r="C25" s="39" t="str">
        <x:v>仮定</x:v>
      </x:c>
      <x:c r="D25" s="14" t="str">
        <x:v>あり</x:v>
      </x:c>
      <x:c r="E25" s="14" t="str">
        <x:v>実ログ量</x:v>
      </x:c>
      <x:c r="F25" s="14" t="str">
        <x:v>14～30日の保持期間。</x:v>
      </x:c>
    </x:row>
    <x:row r="26" ht="44" customHeight="1">
      <x:c r="A26" s="14" t="str">
        <x:v>コスト条件</x:v>
      </x:c>
      <x:c r="B26" s="14" t="str">
        <x:v>月額5,000～8,000円以内、税抜き、無料利用枠は主計算に含めない。為替は1USD=160円。</x:v>
      </x:c>
      <x:c r="C26" s="47" t="str">
        <x:v>制約</x:v>
      </x:c>
      <x:c r="D26" s="14" t="str">
        <x:v>あり</x:v>
      </x:c>
      <x:c r="E26" s="14" t="str">
        <x:v>実請求為替・最新単価</x:v>
      </x:c>
      <x:c r="F26" s="14" t="str">
        <x:v>標準利用は約2,912円。</x:v>
      </x:c>
    </x:row>
    <x:row r="27" ht="44" customHeight="1">
      <x:c r="A27" s="14" t="str">
        <x:v>推奨アーキテクチャ概要</x:v>
      </x:c>
      <x:c r="B27" s="14" t="str">
        <x:v>CloudFront + S3、Cognito、API Gateway HTTP API、Java 25/Spring Boot Lambda、RDS PostgreSQL、SQS Worker。NAT Gatewayなし。</x:v>
      </x:c>
      <x:c r="C27" s="23" t="str">
        <x:v>確定</x:v>
      </x:c>
      <x:c r="D27" s="14" t="str">
        <x:v>なし</x:v>
      </x:c>
      <x:c r="E27" s="14" t="str">
        <x:v>なし</x:v>
      </x:c>
      <x:c r="F27" s="14" t="str">
        <x:v>固定費をRDS中心に限定。</x:v>
      </x:c>
    </x:row>
    <x:row r="28" ht="44" customHeight="1">
      <x:c r="A28" s="14" t="str">
        <x:v>重要な制約</x:v>
      </x:c>
      <x:c r="B28" s="14" t="str">
        <x:v>NAT Gateway、常設WAF、RDS Proxy、ECS/ALBを初期構成へ含めない。音声はAPI Gatewayを通さない。</x:v>
      </x:c>
      <x:c r="C28" s="47" t="str">
        <x:v>制約</x:v>
      </x:c>
      <x:c r="D28" s="14" t="str">
        <x:v>なし</x:v>
      </x:c>
      <x:c r="E28" s="14" t="str">
        <x:v>公開後の攻撃状況</x:v>
      </x:c>
      <x:c r="F28" s="14" t="str">
        <x:v>予算と構成複雑度を優先。</x:v>
      </x:c>
    </x:row>
    <x:row r="29" ht="44" customHeight="1">
      <x:c r="A29" s="14" t="str">
        <x:v>セキュリティ方針</x:v>
      </x:c>
      <x:c r="B29" s="14" t="str">
        <x:v>最小権限、RDS非公開、S3非公開、保存時暗号化、HTTPS、署名付きURL短期化、ログ機密情報禁止。</x:v>
      </x:c>
      <x:c r="C29" s="31" t="str">
        <x:v>方針</x:v>
      </x:c>
      <x:c r="D29" s="14" t="str">
        <x:v>なし</x:v>
      </x:c>
      <x:c r="E29" s="14" t="str">
        <x:v>なし</x:v>
      </x:c>
      <x:c r="F29" s="14" t="str">
        <x:v>初期対策と将来対策を分離。</x:v>
      </x:c>
    </x:row>
    <x:row r="30" ht="44" customHeight="1">
      <x:c r="A30" s="14" t="str">
        <x:v>運用方針</x:v>
      </x:c>
      <x:c r="B30" s="14" t="str">
        <x:v>Budgets、CloudWatch Alarm、RDS自動停止、DLQ監視、バックアップ復元試験、削除Runbookを使用。</x:v>
      </x:c>
      <x:c r="C30" s="31" t="str">
        <x:v>方針</x:v>
      </x:c>
      <x:c r="D30" s="14" t="str">
        <x:v>なし</x:v>
      </x:c>
      <x:c r="E30" s="14" t="str">
        <x:v>担当者と運用頻度</x:v>
      </x:c>
      <x:c r="F30" s="14" t="str">
        <x:v>RDSは停止から7日後の自動起動に注意。</x:v>
      </x:c>
    </x:row>
    <x:row r="31" ht="44" customHeight="1">
      <x:c r="A31" s="14" t="str">
        <x:v>調査日</x:v>
      </x:c>
      <x:c r="B31" s="18" t="n">
        <x:v>46224</x:v>
      </x:c>
      <x:c r="C31" s="23" t="str">
        <x:v>確定</x:v>
      </x:c>
      <x:c r="D31" s="14" t="str">
        <x:v>なし</x:v>
      </x:c>
      <x:c r="E31" s="14" t="str">
        <x:v>なし</x:v>
      </x:c>
      <x:c r="F31" s="14" t="str">
        <x:v>前段の調査・設計書。</x:v>
      </x:c>
    </x:row>
    <x:row r="32" ht="44" customHeight="1">
      <x:c r="A32" s="14" t="str">
        <x:v>Excel作成日</x:v>
      </x:c>
      <x:c r="B32" s="18" t="n">
        <x:v>46224</x:v>
      </x:c>
      <x:c r="C32" s="23" t="str">
        <x:v>確定</x:v>
      </x:c>
      <x:c r="D32" s="14" t="str">
        <x:v>なし</x:v>
      </x:c>
      <x:c r="E32" s="14" t="str">
        <x:v>なし</x:v>
      </x:c>
      <x:c r="F32" s="14" t="str">
        <x:v>本成果物の作成日。</x:v>
      </x:c>
    </x:row>
  </x:sheetData>
  <x:pageMargins left="0.7" right="0.7" top="0.75" bottom="0.75" header="0.3" footer="0.3"/>
  <x:tableParts count="1">
    <x:tablePart xmlns:r="http://schemas.openxmlformats.org/officeDocument/2006/relationships" r:id="R2c3ddee290cb412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0" hidden="0" customWidth="1"/>
    <x:col min="3" max="3" width="40" hidden="0" customWidth="1"/>
    <x:col min="4" max="4" width="40" hidden="0" customWidth="1"/>
    <x:col min="5" max="5" width="14" hidden="0" customWidth="1"/>
    <x:col min="6" max="6" width="46" hidden="0" customWidth="1"/>
    <x:col min="7" max="7" width="42" hidden="0" customWidth="1"/>
  </x:cols>
  <x:sheetData>
    <x:row r="1" ht="34" customHeight="1">
      <x:c r="A1" s="6" t="str">
        <x:v>評価項目</x:v>
      </x:c>
      <x:c r="B1" s="6" t="str">
        <x:v>構成案A</x:v>
      </x:c>
      <x:c r="C1" s="6" t="str">
        <x:v>構成案B</x:v>
      </x:c>
      <x:c r="D1" s="6" t="str">
        <x:v>構成案C</x:v>
      </x:c>
      <x:c r="E1" s="6" t="str">
        <x:v>推奨案</x:v>
      </x:c>
      <x:c r="F1" s="6" t="str">
        <x:v>推奨理由</x:v>
      </x:c>
      <x:c r="G1" s="6" t="str">
        <x:v>注意事項</x:v>
      </x:c>
    </x:row>
    <x:row r="2" ht="52" customHeight="1">
      <x:c r="A2" s="14" t="str">
        <x:v>構成概要</x:v>
      </x:c>
      <x:c r="B2" s="14" t="str">
        <x:v>Lambda + RDSのサーバーレス中心</x:v>
      </x:c>
      <x:c r="C2" s="14" t="str">
        <x:v>ECS Fargate + ALB + RDS</x:v>
      </x:c>
      <x:c r="D2" s="14" t="str">
        <x:v>Lambda + DynamoDB中心、RDSは学習用</x:v>
      </x:c>
      <x:c r="E2" s="23" t="str">
        <x:v>構成案A</x:v>
      </x:c>
      <x:c r="F2" s="14" t="str">
        <x:v>必須6サービスを実アプリへ自然に組み込み、固定費を抑えられる。</x:v>
      </x:c>
      <x:c r="G2" s="14" t="str">
        <x:v>構成案AでもRDS接続数とコールドスタートを管理する。</x:v>
      </x:c>
    </x:row>
    <x:row r="3" ht="52" customHeight="1">
      <x:c r="A3" s="14" t="str">
        <x:v>Reactの配信方式</x:v>
      </x:c>
      <x:c r="B3" s="14" t="str">
        <x:v>S3非公開 + CloudFront OAC</x:v>
      </x:c>
      <x:c r="C3" s="14" t="str">
        <x:v>S3非公開 + CloudFront OAC</x:v>
      </x:c>
      <x:c r="D3" s="14" t="str">
        <x:v>S3非公開 + CloudFront OAC</x:v>
      </x:c>
      <x:c r="E3" s="23" t="str">
        <x:v>構成案A</x:v>
      </x:c>
      <x:c r="F3" s="14" t="str">
        <x:v>いずれも同等。OACでS3直接公開を回避。</x:v>
      </x:c>
      <x:c r="G3" s="14" t="str">
        <x:v>独自ドメイン時はACMをus-east-1に作成。</x:v>
      </x:c>
    </x:row>
    <x:row r="4" ht="52" customHeight="1">
      <x:c r="A4" s="14" t="str">
        <x:v>Spring Bootの実行方式</x:v>
      </x:c>
      <x:c r="B4" s="14" t="str">
        <x:v>AWS Lambda + Serverless Java Container</x:v>
      </x:c>
      <x:c r="C4" s="14" t="str">
        <x:v>ECS Fargate常駐コンテナ</x:v>
      </x:c>
      <x:c r="D4" s="14" t="str">
        <x:v>AWS Lambda</x:v>
      </x:c>
      <x:c r="E4" s="23" t="str">
        <x:v>構成案A</x:v>
      </x:c>
      <x:c r="F4" s="14" t="str">
        <x:v>使用時課金で開発環境の停止管理が少ない。</x:v>
      </x:c>
      <x:c r="G4" s="14" t="str">
        <x:v>15分超過処理はWorkerをFargate/Batchへ移行。</x:v>
      </x:c>
    </x:row>
    <x:row r="5" ht="52" customHeight="1">
      <x:c r="A5" s="14" t="str">
        <x:v>データベース</x:v>
      </x:c>
      <x:c r="B5" s="14" t="str">
        <x:v>RDS PostgreSQL</x:v>
      </x:c>
      <x:c r="C5" s="14" t="str">
        <x:v>RDS PostgreSQL</x:v>
      </x:c>
      <x:c r="D5" s="14" t="str">
        <x:v>DynamoDB、本番RDSなし</x:v>
      </x:c>
      <x:c r="E5" s="23" t="str">
        <x:v>構成案A</x:v>
      </x:c>
      <x:c r="F5" s="14" t="str">
        <x:v>関係データと所有権管理に適し、必須RDSを実利用できる。</x:v>
      </x:c>
      <x:c r="G5" s="14" t="str">
        <x:v>Single-AZのため本番可用性は限定的。</x:v>
      </x:c>
    </x:row>
    <x:row r="6" ht="52" customHeight="1">
      <x:c r="A6" s="14" t="str">
        <x:v>音声ファイル保存</x:v>
      </x:c>
      <x:c r="B6" s="14" t="str">
        <x:v>Amazon S3</x:v>
      </x:c>
      <x:c r="C6" s="14" t="str">
        <x:v>Amazon S3</x:v>
      </x:c>
      <x:c r="D6" s="14" t="str">
        <x:v>Amazon S3</x:v>
      </x:c>
      <x:c r="E6" s="23" t="str">
        <x:v>構成案A</x:v>
      </x:c>
      <x:c r="F6" s="14" t="str">
        <x:v>各案共通。署名付きURLで直接転送する。</x:v>
      </x:c>
      <x:c r="G6" s="14" t="str">
        <x:v>未完了Multipartと保存量を監視。</x:v>
      </x:c>
    </x:row>
    <x:row r="7" ht="52" customHeight="1">
      <x:c r="A7" s="14" t="str">
        <x:v>非同期処理</x:v>
      </x:c>
      <x:c r="B7" s="14" t="str">
        <x:v>S3 → SQS → Lambda</x:v>
      </x:c>
      <x:c r="C7" s="14" t="str">
        <x:v>S3 → SQS → Fargate/Lambda</x:v>
      </x:c>
      <x:c r="D7" s="14" t="str">
        <x:v>S3 → SQS → Lambda</x:v>
      </x:c>
      <x:c r="E7" s="23" t="str">
        <x:v>構成案A</x:v>
      </x:c>
      <x:c r="F7" s="14" t="str">
        <x:v>低負荷時の固定費がなく、DLQと再試行を利用できる。</x:v>
      </x:c>
      <x:c r="G7" s="14" t="str">
        <x:v>重複イベントを前提に冪等化。</x:v>
      </x:c>
    </x:row>
    <x:row r="8" ht="52" customHeight="1">
      <x:c r="A8" s="14" t="str">
        <x:v>ネットワーク構成</x:v>
      </x:c>
      <x:c r="B8" s="14" t="str">
        <x:v>Private RDS、S3 Gateway Endpoint、NATなし</x:v>
      </x:c>
      <x:c r="C8" s="14" t="str">
        <x:v>Private ECS/RDS、NATまたは複数Endpoint</x:v>
      </x:c>
      <x:c r="D8" s="14" t="str">
        <x:v>DynamoDB/S3中心、NATなし</x:v>
      </x:c>
      <x:c r="E8" s="23" t="str">
        <x:v>構成案A</x:v>
      </x:c>
      <x:c r="F8" s="14" t="str">
        <x:v>NAT Gateway固定費を回避できる。</x:v>
      </x:c>
      <x:c r="G8" s="14" t="str">
        <x:v>外部API通信が必要になれば再設計。</x:v>
      </x:c>
    </x:row>
    <x:row r="9" ht="52" customHeight="1">
      <x:c r="A9" s="14" t="str">
        <x:v>コスト</x:v>
      </x:c>
      <x:c r="B9" s="14" t="str">
        <x:v>低～中</x:v>
      </x:c>
      <x:c r="C9" s="14" t="str">
        <x:v>高</x:v>
      </x:c>
      <x:c r="D9" s="14" t="str">
        <x:v>最低</x:v>
      </x:c>
      <x:c r="E9" s="23" t="str">
        <x:v>構成案A</x:v>
      </x:c>
      <x:c r="F9" s="14" t="str">
        <x:v>標準約2,912円。RDS以外を従量課金中心にできる。</x:v>
      </x:c>
      <x:c r="G9" s="14" t="str">
        <x:v>RDS停止忘れと転送量が主な超過要因。</x:v>
      </x:c>
    </x:row>
    <x:row r="10" ht="52" customHeight="1">
      <x:c r="A10" s="14" t="str">
        <x:v>運用性</x:v>
      </x:c>
      <x:c r="B10" s="14" t="str">
        <x:v>高</x:v>
      </x:c>
      <x:c r="C10" s="14" t="str">
        <x:v>中</x:v>
      </x:c>
      <x:c r="D10" s="14" t="str">
        <x:v>高</x:v>
      </x:c>
      <x:c r="E10" s="23" t="str">
        <x:v>構成案A</x:v>
      </x:c>
      <x:c r="F10" s="14" t="str">
        <x:v>OS・コンテナService・ALB運用が不要。</x:v>
      </x:c>
      <x:c r="G10" s="14" t="str">
        <x:v>Lambda/RDSのメトリクス監視は必須。</x:v>
      </x:c>
    </x:row>
    <x:row r="11" ht="52" customHeight="1">
      <x:c r="A11" s="14" t="str">
        <x:v>セキュリティ</x:v>
      </x:c>
      <x:c r="B11" s="14" t="str">
        <x:v>高</x:v>
      </x:c>
      <x:c r="C11" s="14" t="str">
        <x:v>高</x:v>
      </x:c>
      <x:c r="D11" s="14" t="str">
        <x:v>高</x:v>
      </x:c>
      <x:c r="E11" s="23" t="str">
        <x:v>構成案A</x:v>
      </x:c>
      <x:c r="F11" s="14" t="str">
        <x:v>非公開RDS、JWT、S3 OACを構成可能。</x:v>
      </x:c>
      <x:c r="G11" s="14" t="str">
        <x:v>アプリ内で所有者認可を必ず実施。</x:v>
      </x:c>
    </x:row>
    <x:row r="12" ht="52" customHeight="1">
      <x:c r="A12" s="14" t="str">
        <x:v>拡張性</x:v>
      </x:c>
      <x:c r="B12" s="14" t="str">
        <x:v>中～高</x:v>
      </x:c>
      <x:c r="C12" s="14" t="str">
        <x:v>高</x:v>
      </x:c>
      <x:c r="D12" s="14" t="str">
        <x:v>高</x:v>
      </x:c>
      <x:c r="E12" s="23" t="str">
        <x:v>構成案A</x:v>
      </x:c>
      <x:c r="F12" s="14" t="str">
        <x:v>小規模公開まで十分で、Workerのみ後から移行可能。</x:v>
      </x:c>
      <x:c r="G12" s="14" t="str">
        <x:v>リアルタイム共同編集では別途WebSocket設計。</x:v>
      </x:c>
    </x:row>
    <x:row r="13" ht="52" customHeight="1">
      <x:c r="A13" s="14" t="str">
        <x:v>Terraformの複雑さ</x:v>
      </x:c>
      <x:c r="B13" s="14" t="str">
        <x:v>中</x:v>
      </x:c>
      <x:c r="C13" s="14" t="str">
        <x:v>高</x:v>
      </x:c>
      <x:c r="D13" s="14" t="str">
        <x:v>中</x:v>
      </x:c>
      <x:c r="E13" s="23" t="str">
        <x:v>構成案A</x:v>
      </x:c>
      <x:c r="F13" s="14" t="str">
        <x:v>ECS、ALB、NAT、Service Auto Scalingが不要。</x:v>
      </x:c>
      <x:c r="G13" s="14" t="str">
        <x:v>state分割数は増やしすぎない。</x:v>
      </x:c>
    </x:row>
    <x:row r="14" ht="52" customHeight="1">
      <x:c r="A14" s="14" t="str">
        <x:v>初心者の理解しやすさ</x:v>
      </x:c>
      <x:c r="B14" s="14" t="str">
        <x:v>中</x:v>
      </x:c>
      <x:c r="C14" s="14" t="str">
        <x:v>低</x:v>
      </x:c>
      <x:c r="D14" s="14" t="str">
        <x:v>中</x:v>
      </x:c>
      <x:c r="E14" s="23" t="str">
        <x:v>構成案A</x:v>
      </x:c>
      <x:c r="F14" s="14" t="str">
        <x:v>必須サービスの役割と依存関係を段階的に学べる。</x:v>
      </x:c>
      <x:c r="G14" s="14" t="str">
        <x:v>LambdaのSpring Bootアダプターは事前検証する。</x:v>
      </x:c>
    </x:row>
    <x:row r="15" ht="52" customHeight="1">
      <x:c r="A15" s="14" t="str">
        <x:v>ブラウザDAWへの適合性</x:v>
      </x:c>
      <x:c r="B15" s="14" t="str">
        <x:v>高</x:v>
      </x:c>
      <x:c r="C15" s="14" t="str">
        <x:v>高</x:v>
      </x:c>
      <x:c r="D15" s="14" t="str">
        <x:v>中～高</x:v>
      </x:c>
      <x:c r="E15" s="23" t="str">
        <x:v>構成案A</x:v>
      </x:c>
      <x:c r="F15" s="14" t="str">
        <x:v>S3大容量保存と非同期変換を自然に分離できる。</x:v>
      </x:c>
      <x:c r="G15" s="14" t="str">
        <x:v>低遅延共同編集は初期対象外。</x:v>
      </x:c>
    </x:row>
    <x:row r="16" ht="52" customHeight="1">
      <x:c r="A16" s="14" t="str">
        <x:v>削除の容易さ</x:v>
      </x:c>
      <x:c r="B16" s="14" t="str">
        <x:v>高</x:v>
      </x:c>
      <x:c r="C16" s="14" t="str">
        <x:v>中</x:v>
      </x:c>
      <x:c r="D16" s="14" t="str">
        <x:v>高</x:v>
      </x:c>
      <x:c r="E16" s="23" t="str">
        <x:v>構成案A</x:v>
      </x:c>
      <x:c r="F16" s="14" t="str">
        <x:v>サービス別moduleとstackで逆順削除できる。</x:v>
      </x:c>
      <x:c r="G16" s="14" t="str">
        <x:v>S3データ、RDS snapshot、CloudFront削除に手順が必要。</x:v>
      </x:c>
    </x:row>
    <x:row r="17" ht="52" customHeight="1">
      <x:c r="A17" s="14" t="str">
        <x:v>主なリスク</x:v>
      </x:c>
      <x:c r="B17" s="14" t="str">
        <x:v>RDS接続枯渇、コールドスタート、15分制限</x:v>
      </x:c>
      <x:c r="C17" s="14" t="str">
        <x:v>固定費、構成複雑化、常時運用</x:v>
      </x:c>
      <x:c r="D17" s="14" t="str">
        <x:v>DynamoDB設計学習、RDS必須条件との不整合</x:v>
      </x:c>
      <x:c r="E17" s="23" t="str">
        <x:v>構成案A</x:v>
      </x:c>
      <x:c r="F17" s="14" t="str">
        <x:v>同時実行制限、SnapStart、SQSで緩和できる。</x:v>
      </x:c>
      <x:c r="G17" s="14" t="str">
        <x:v>性能実測により構成案Bへ移行する可能性は残る。</x:v>
      </x:c>
    </x:row>
  </x:sheetData>
  <x:pageMargins left="0.7" right="0.7" top="0.75" bottom="0.75" header="0.3" footer="0.3"/>
  <x:tableParts count="1">
    <x:tablePart xmlns:r="http://schemas.openxmlformats.org/officeDocument/2006/relationships" r:id="Rab503b0a872949f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6" hidden="0" customWidth="1"/>
    <x:col min="4" max="4" width="30" hidden="0" customWidth="1"/>
    <x:col min="5" max="5" width="38" hidden="0" customWidth="1"/>
    <x:col min="6" max="6" width="34" hidden="0" customWidth="1"/>
    <x:col min="7" max="7" width="16" hidden="0" customWidth="1"/>
    <x:col min="8" max="8" width="18" hidden="0" customWidth="1"/>
    <x:col min="9" max="9" width="28" hidden="0" customWidth="1"/>
    <x:col min="10" max="10" width="24" hidden="0" customWidth="1"/>
    <x:col min="11" max="11" width="35" hidden="0" customWidth="1"/>
    <x:col min="12" max="12" width="35" hidden="0" customWidth="1"/>
    <x:col min="13" max="13" width="32" hidden="0" customWidth="1"/>
    <x:col min="14" max="14" width="10" hidden="0" customWidth="1"/>
    <x:col min="15" max="15" width="34" hidden="0" customWidth="1"/>
  </x:cols>
  <x:sheetData>
    <x:row r="1" ht="34" customHeight="1">
      <x:c r="A1" s="6" t="str">
        <x:v>No.</x:v>
      </x:c>
      <x:c r="B1" s="6" t="str">
        <x:v>サービス</x:v>
      </x:c>
      <x:c r="C1" s="6" t="str">
        <x:v>分類</x:v>
      </x:c>
      <x:c r="D1" s="6" t="str">
        <x:v>用途</x:v>
      </x:c>
      <x:c r="E1" s="6" t="str">
        <x:v>採用理由</x:v>
      </x:c>
      <x:c r="F1" s="6" t="str">
        <x:v>採用しない場合の影響</x:v>
      </x:c>
      <x:c r="G1" s="6" t="str">
        <x:v>初期導入</x:v>
      </x:c>
      <x:c r="H1" s="6" t="str">
        <x:v>将来導入</x:v>
      </x:c>
      <x:c r="I1" s="6" t="str">
        <x:v>依存サービス</x:v>
      </x:c>
      <x:c r="J1" s="6" t="str">
        <x:v>コスト要因</x:v>
      </x:c>
      <x:c r="K1" s="6" t="str">
        <x:v>セキュリティ上の注意</x:v>
      </x:c>
      <x:c r="L1" s="6" t="str">
        <x:v>運用上の注意</x:v>
      </x:c>
      <x:c r="M1" s="6" t="str">
        <x:v>削除時の影響</x:v>
      </x:c>
      <x:c r="N1" s="6" t="str">
        <x:v>推奨度</x:v>
      </x:c>
      <x:c r="O1" s="6" t="str">
        <x:v>備考</x:v>
      </x:c>
    </x:row>
    <x:row r="2" ht="52" customHeight="1">
      <x:c r="A2" s="14" t="n">
        <x:v>1</x:v>
      </x:c>
      <x:c r="B2" s="14" t="str">
        <x:v>Amazon S3</x:v>
      </x:c>
      <x:c r="C2" s="55" t="str">
        <x:v>必須</x:v>
      </x:c>
      <x:c r="D2" s="14" t="str">
        <x:v>React静的ファイル、音声、Terraform state、監査ログの保存</x:v>
      </x:c>
      <x:c r="E2" s="14" t="str">
        <x:v>大容量ファイル保存とブラウザ直接アップロードに適する。</x:v>
      </x:c>
      <x:c r="F2" s="14" t="str">
        <x:v>音声保存と静的配信が成立しない。</x:v>
      </x:c>
      <x:c r="G2" s="14" t="str">
        <x:v>導入</x:v>
      </x:c>
      <x:c r="H2" s="14" t="str">
        <x:v>継続</x:v>
      </x:c>
      <x:c r="I2" s="14" t="str">
        <x:v>CloudFront、Lambda、SQS</x:v>
      </x:c>
      <x:c r="J2" s="14" t="str">
        <x:v>容量、PUT/GET、転送</x:v>
      </x:c>
      <x:c r="K2" s="14" t="str">
        <x:v>Block Public Access、暗号化、短期署名URL</x:v>
      </x:c>
      <x:c r="L2" s="14" t="str">
        <x:v>ライフサイクル、未完了Multipart、version管理</x:v>
      </x:c>
      <x:c r="M2" s="14" t="str">
        <x:v>削除時にデータ消失。空にしないと削除できない。</x:v>
      </x:c>
      <x:c r="N2" s="14" t="n">
        <x:v>5</x:v>
      </x:c>
      <x:c r="O2" s="14" t="str">
        <x:v>frontend/audio/state/auditを分離。</x:v>
      </x:c>
    </x:row>
    <x:row r="3" ht="52" customHeight="1">
      <x:c r="A3" s="14" t="n">
        <x:v>2</x:v>
      </x:c>
      <x:c r="B3" s="14" t="str">
        <x:v>AWS Lambda</x:v>
      </x:c>
      <x:c r="C3" s="55" t="str">
        <x:v>必須</x:v>
      </x:c>
      <x:c r="D3" s="14" t="str">
        <x:v>Spring Boot REST API、音声変換、運用処理</x:v>
      </x:c>
      <x:c r="E3" s="14" t="str">
        <x:v>使用時課金でサーバー管理が不要。</x:v>
      </x:c>
      <x:c r="F3" s="14" t="str">
        <x:v>ECS/EC2等の常設基盤が必要。</x:v>
      </x:c>
      <x:c r="G3" s="14" t="str">
        <x:v>導入</x:v>
      </x:c>
      <x:c r="H3" s="14" t="str">
        <x:v>継続</x:v>
      </x:c>
      <x:c r="I3" s="14" t="str">
        <x:v>API Gateway、SQS、RDS、S3</x:v>
      </x:c>
      <x:c r="J3" s="14" t="str">
        <x:v>GB秒、実行回数</x:v>
      </x:c>
      <x:c r="K3" s="14" t="str">
        <x:v>実行Role最小権限、同時実行数上限</x:v>
      </x:c>
      <x:c r="L3" s="14" t="str">
        <x:v>Duration、Error、Throttle、cold start監視</x:v>
      </x:c>
      <x:c r="M3" s="14" t="str">
        <x:v>削除するとAPI・Worker停止。</x:v>
      </x:c>
      <x:c r="N3" s="14" t="n">
        <x:v>5</x:v>
      </x:c>
      <x:c r="O3" s="14" t="str">
        <x:v>Java 25、SnapStart候補。</x:v>
      </x:c>
    </x:row>
    <x:row r="4" ht="52" customHeight="1">
      <x:c r="A4" s="14" t="n">
        <x:v>3</x:v>
      </x:c>
      <x:c r="B4" s="14" t="str">
        <x:v>Amazon API Gateway</x:v>
      </x:c>
      <x:c r="C4" s="55" t="str">
        <x:v>必須</x:v>
      </x:c>
      <x:c r="D4" s="14" t="str">
        <x:v>HTTP APIとしてRESTエンドポイントを公開</x:v>
      </x:c>
      <x:c r="E4" s="14" t="str">
        <x:v>HTTP APIは低コストでJWT Authorizerを利用可能。</x:v>
      </x:c>
      <x:c r="F4" s="14" t="str">
        <x:v>独自API公開基盤が必要。</x:v>
      </x:c>
      <x:c r="G4" s="14" t="str">
        <x:v>導入</x:v>
      </x:c>
      <x:c r="H4" s="14" t="str">
        <x:v>継続</x:v>
      </x:c>
      <x:c r="I4" s="14" t="str">
        <x:v>Cognito、Lambda</x:v>
      </x:c>
      <x:c r="J4" s="14" t="str">
        <x:v>リクエスト数</x:v>
      </x:c>
      <x:c r="K4" s="14" t="str">
        <x:v>JWT、CORS、Throttle</x:v>
      </x:c>
      <x:c r="L4" s="14" t="str">
        <x:v>4XX/5XX、Latency監視</x:v>
      </x:c>
      <x:c r="M4" s="14" t="str">
        <x:v>削除するとREST API停止。</x:v>
      </x:c>
      <x:c r="N4" s="14" t="n">
        <x:v>5</x:v>
      </x:c>
      <x:c r="O4" s="14" t="str">
        <x:v>REST APIではなくHTTP API。</x:v>
      </x:c>
    </x:row>
    <x:row r="5" ht="52" customHeight="1">
      <x:c r="A5" s="14" t="n">
        <x:v>4</x:v>
      </x:c>
      <x:c r="B5" s="14" t="str">
        <x:v>Amazon Cognito</x:v>
      </x:c>
      <x:c r="C5" s="55" t="str">
        <x:v>必須</x:v>
      </x:c>
      <x:c r="D5" s="14" t="str">
        <x:v>ユーザー登録、ログイン、JWT発行</x:v>
      </x:c>
      <x:c r="E5" s="14" t="str">
        <x:v>独自認証実装を避けられる。</x:v>
      </x:c>
      <x:c r="F5" s="14" t="str">
        <x:v>認証基盤を自作または他社サービスへ変更。</x:v>
      </x:c>
      <x:c r="G5" s="14" t="str">
        <x:v>導入</x:v>
      </x:c>
      <x:c r="H5" s="14" t="str">
        <x:v>MFA強化</x:v>
      </x:c>
      <x:c r="I5" s="14" t="str">
        <x:v>API Gateway、React</x:v>
      </x:c>
      <x:c r="J5" s="14" t="str">
        <x:v>MAU、SMS、メール</x:v>
      </x:c>
      <x:c r="K5" s="14" t="str">
        <x:v>Access Token使用、TOTP検討</x:v>
      </x:c>
      <x:c r="L5" s="14" t="str">
        <x:v>ユーザー状態、メール送信、callback URL管理</x:v>
      </x:c>
      <x:c r="M5" s="14" t="str">
        <x:v>削除すると全ユーザーとログイン機能を失う。</x:v>
      </x:c>
      <x:c r="N5" s="14" t="n">
        <x:v>5</x:v>
      </x:c>
      <x:c r="O5" s="14" t="str">
        <x:v>subを所有者IDに使用。</x:v>
      </x:c>
    </x:row>
    <x:row r="6" ht="52" customHeight="1">
      <x:c r="A6" s="14" t="n">
        <x:v>5</x:v>
      </x:c>
      <x:c r="B6" s="14" t="str">
        <x:v>Amazon RDS for PostgreSQL</x:v>
      </x:c>
      <x:c r="C6" s="55" t="str">
        <x:v>必須</x:v>
      </x:c>
      <x:c r="D6" s="14" t="str">
        <x:v>プロジェクト・トラック・音声資産・処理状態のメタデータ保存</x:v>
      </x:c>
      <x:c r="E6" s="14" t="str">
        <x:v>関係データとトランザクション整合性に適する。</x:v>
      </x:c>
      <x:c r="F6" s="14" t="str">
        <x:v>DynamoDB等へデータモデル変更が必要。</x:v>
      </x:c>
      <x:c r="G6" s="14" t="str">
        <x:v>導入</x:v>
      </x:c>
      <x:c r="H6" s="14" t="str">
        <x:v>Multi-AZ/RDS Proxy</x:v>
      </x:c>
      <x:c r="I6" s="14" t="str">
        <x:v>VPC、Lambda、Secrets Manager</x:v>
      </x:c>
      <x:c r="J6" s="14" t="str">
        <x:v>稼働時間、ストレージ、backup</x:v>
      </x:c>
      <x:c r="K6" s="14" t="str">
        <x:v>非公開、TLS、IAM DB認証</x:v>
      </x:c>
      <x:c r="L6" s="14" t="str">
        <x:v>自動停止、接続数、容量、backup監視</x:v>
      </x:c>
      <x:c r="M6" s="14" t="str">
        <x:v>削除でメタデータ消失。最終snapshotを判断。</x:v>
      </x:c>
      <x:c r="N6" s="14" t="n">
        <x:v>5</x:v>
      </x:c>
      <x:c r="O6" s="14" t="str">
        <x:v>db.t4g.micro、Single-AZ。</x:v>
      </x:c>
    </x:row>
    <x:row r="7" ht="52" customHeight="1">
      <x:c r="A7" s="14" t="n">
        <x:v>6</x:v>
      </x:c>
      <x:c r="B7" s="14" t="str">
        <x:v>Amazon SQS</x:v>
      </x:c>
      <x:c r="C7" s="55" t="str">
        <x:v>必須</x:v>
      </x:c>
      <x:c r="D7" s="14" t="str">
        <x:v>音声処理キューとDLQ</x:v>
      </x:c>
      <x:c r="E7" s="14" t="str">
        <x:v>再試行、負荷平準化、障害分離が可能。</x:v>
      </x:c>
      <x:c r="F7" s="14" t="str">
        <x:v>APIと音声処理が密結合。</x:v>
      </x:c>
      <x:c r="G7" s="14" t="str">
        <x:v>導入</x:v>
      </x:c>
      <x:c r="H7" s="14" t="str">
        <x:v>継続</x:v>
      </x:c>
      <x:c r="I7" s="14" t="str">
        <x:v>S3、Lambda</x:v>
      </x:c>
      <x:c r="J7" s="14" t="str">
        <x:v>APIリクエスト数</x:v>
      </x:c>
      <x:c r="K7" s="14" t="str">
        <x:v>SSE、Queue policy、DLQ</x:v>
      </x:c>
      <x:c r="L7" s="14" t="str">
        <x:v>滞留件数、Age、DLQ件数監視</x:v>
      </x:c>
      <x:c r="M7" s="14" t="str">
        <x:v>削除で未処理ジョブ消失。</x:v>
      </x:c>
      <x:c r="N7" s="14" t="n">
        <x:v>5</x:v>
      </x:c>
      <x:c r="O7" s="14" t="str">
        <x:v>Standard Queue、冪等化必須。</x:v>
      </x:c>
    </x:row>
    <x:row r="8" ht="52" customHeight="1">
      <x:c r="A8" s="14" t="n">
        <x:v>7</x:v>
      </x:c>
      <x:c r="B8" s="14" t="str">
        <x:v>Amazon CloudFront</x:v>
      </x:c>
      <x:c r="C8" s="55" t="str">
        <x:v>必須</x:v>
      </x:c>
      <x:c r="D8" s="14" t="str">
        <x:v>React配信、HTTPS、キャッシュ</x:v>
      </x:c>
      <x:c r="E8" s="14" t="str">
        <x:v>S3を非公開のまま配信できる。</x:v>
      </x:c>
      <x:c r="F8" s="14" t="str">
        <x:v>S3公開または別CDNが必要。</x:v>
      </x:c>
      <x:c r="G8" s="14" t="str">
        <x:v>導入</x:v>
      </x:c>
      <x:c r="H8" s="14" t="str">
        <x:v>音声配信・Signed Cookie</x:v>
      </x:c>
      <x:c r="I8" s="14" t="str">
        <x:v>S3、ACM、Route 53</x:v>
      </x:c>
      <x:c r="J8" s="14" t="str">
        <x:v>データ転送、HTTPSリクエスト、無効化</x:v>
      </x:c>
      <x:c r="K8" s="14" t="str">
        <x:v>OAC、TLS、キャッシュキー</x:v>
      </x:c>
      <x:c r="L8" s="14" t="str">
        <x:v>転送量、エラー率、キャッシュ率監視</x:v>
      </x:c>
      <x:c r="M8" s="14" t="str">
        <x:v>Distribution無効化後に削除。</x:v>
      </x:c>
      <x:c r="N8" s="14" t="n">
        <x:v>5</x:v>
      </x:c>
      <x:c r="O8" s="14" t="str">
        <x:v>無料枠は主計算から除外。</x:v>
      </x:c>
    </x:row>
    <x:row r="9" ht="52" customHeight="1">
      <x:c r="A9" s="14" t="n">
        <x:v>8</x:v>
      </x:c>
      <x:c r="B9" s="14" t="str">
        <x:v>Amazon Route 53</x:v>
      </x:c>
      <x:c r="C9" s="39" t="str">
        <x:v>条件付き採用</x:v>
      </x:c>
      <x:c r="D9" s="14" t="str">
        <x:v>独自ドメインとDNS</x:v>
      </x:c>
      <x:c r="E9" s="14" t="str">
        <x:v>CloudFront Aliasを簡潔に管理できる。</x:v>
      </x:c>
      <x:c r="F9" s="14" t="str">
        <x:v>CloudFront既定ドメインで代替。</x:v>
      </x:c>
      <x:c r="G9" s="14" t="str">
        <x:v>独自ドメイン時</x:v>
      </x:c>
      <x:c r="H9" s="14" t="str">
        <x:v>継続</x:v>
      </x:c>
      <x:c r="I9" s="14" t="str">
        <x:v>ACM、CloudFront</x:v>
      </x:c>
      <x:c r="J9" s="14" t="str">
        <x:v>Hosted Zone、DNS query</x:v>
      </x:c>
      <x:c r="K9" s="14" t="str">
        <x:v>ドメイン管理権限を限定</x:v>
      </x:c>
      <x:c r="L9" s="14" t="str">
        <x:v>不要Zone・recordを削除</x:v>
      </x:c>
      <x:c r="M9" s="14" t="str">
        <x:v>削除すると名前解決停止。</x:v>
      </x:c>
      <x:c r="N9" s="14" t="n">
        <x:v>3</x:v>
      </x:c>
      <x:c r="O9" s="14" t="str">
        <x:v>初期は省略可能。</x:v>
      </x:c>
    </x:row>
    <x:row r="10" ht="52" customHeight="1">
      <x:c r="A10" s="14" t="n">
        <x:v>9</x:v>
      </x:c>
      <x:c r="B10" s="14" t="str">
        <x:v>AWS Certificate Manager</x:v>
      </x:c>
      <x:c r="C10" s="39" t="str">
        <x:v>条件付き採用</x:v>
      </x:c>
      <x:c r="D10" s="14" t="str">
        <x:v>独自ドメインのTLS証明書</x:v>
      </x:c>
      <x:c r="E10" s="14" t="str">
        <x:v>CloudFront統合用証明書は追加料金なし。</x:v>
      </x:c>
      <x:c r="F10" s="14" t="str">
        <x:v>CloudFront既定証明書を使用。</x:v>
      </x:c>
      <x:c r="G10" s="14" t="str">
        <x:v>独自ドメイン時</x:v>
      </x:c>
      <x:c r="H10" s="14" t="str">
        <x:v>継続</x:v>
      </x:c>
      <x:c r="I10" s="14" t="str">
        <x:v>CloudFront、Route 53</x:v>
      </x:c>
      <x:c r="J10" s="14" t="str">
        <x:v>通常0円</x:v>
      </x:c>
      <x:c r="K10" s="14" t="str">
        <x:v>CloudFront用はus-east-1</x:v>
      </x:c>
      <x:c r="L10" s="14" t="str">
        <x:v>更新状態・DNS検証を確認</x:v>
      </x:c>
      <x:c r="M10" s="14" t="str">
        <x:v>使用中は削除不可。</x:v>
      </x:c>
      <x:c r="N10" s="14" t="n">
        <x:v>4</x:v>
      </x:c>
      <x:c r="O10" s="14" t="str">
        <x:v>Provider aliasを使用。</x:v>
      </x:c>
    </x:row>
    <x:row r="11" ht="52" customHeight="1">
      <x:c r="A11" s="14" t="n">
        <x:v>10</x:v>
      </x:c>
      <x:c r="B11" s="14" t="str">
        <x:v>Amazon CloudWatch</x:v>
      </x:c>
      <x:c r="C11" s="55" t="str">
        <x:v>必須</x:v>
      </x:c>
      <x:c r="D11" s="14" t="str">
        <x:v>ログ、メトリクス、Alarm</x:v>
      </x:c>
      <x:c r="E11" s="14" t="str">
        <x:v>Lambda・API・RDS運用に不可欠。</x:v>
      </x:c>
      <x:c r="F11" s="14" t="str">
        <x:v>障害とコスト増加の検知が遅れる。</x:v>
      </x:c>
      <x:c r="G11" s="14" t="str">
        <x:v>導入</x:v>
      </x:c>
      <x:c r="H11" s="14" t="str">
        <x:v>監視拡張</x:v>
      </x:c>
      <x:c r="I11" s="14" t="str">
        <x:v>全サービス</x:v>
      </x:c>
      <x:c r="J11" s="14" t="str">
        <x:v>ログ取込、保存、Alarm</x:v>
      </x:c>
      <x:c r="K11" s="14" t="str">
        <x:v>JWT・署名URL・秘密を記録しない</x:v>
      </x:c>
      <x:c r="L11" s="14" t="str">
        <x:v>保持14～30日、Alarm定期確認</x:v>
      </x:c>
      <x:c r="M11" s="14" t="str">
        <x:v>削除でログ・監視履歴消失。</x:v>
      </x:c>
      <x:c r="N11" s="14" t="n">
        <x:v>5</x:v>
      </x:c>
      <x:c r="O11" s="14" t="str">
        <x:v>ログ量を予算管理。</x:v>
      </x:c>
    </x:row>
    <x:row r="12" ht="52" customHeight="1">
      <x:c r="A12" s="14" t="n">
        <x:v>11</x:v>
      </x:c>
      <x:c r="B12" s="14" t="str">
        <x:v>AWS Budgets</x:v>
      </x:c>
      <x:c r="C12" s="55" t="str">
        <x:v>必須</x:v>
      </x:c>
      <x:c r="D12" s="14" t="str">
        <x:v>予算閾値通知</x:v>
      </x:c>
      <x:c r="E12" s="14" t="str">
        <x:v>料金超過を早期検知できる。</x:v>
      </x:c>
      <x:c r="F12" s="14" t="str">
        <x:v>請求確定まで超過に気づかない。</x:v>
      </x:c>
      <x:c r="G12" s="14" t="str">
        <x:v>最初に導入</x:v>
      </x:c>
      <x:c r="H12" s="14" t="str">
        <x:v>自動Action検討</x:v>
      </x:c>
      <x:c r="I12" s="14" t="str">
        <x:v>Billing、SNS/Email</x:v>
      </x:c>
      <x:c r="J12" s="14" t="str">
        <x:v>通常の監視・通知は0円</x:v>
      </x:c>
      <x:c r="K12" s="14" t="str">
        <x:v>通知先と請求権限を限定</x:v>
      </x:c>
      <x:c r="L12" s="14" t="str">
        <x:v>4千・6千・8千円相当で通知</x:v>
      </x:c>
      <x:c r="M12" s="14" t="str">
        <x:v>削除で通知のみ停止。</x:v>
      </x:c>
      <x:c r="N12" s="14" t="n">
        <x:v>5</x:v>
      </x:c>
      <x:c r="O12" s="14" t="str">
        <x:v>bootstrap local stateから開始。</x:v>
      </x:c>
    </x:row>
    <x:row r="13" ht="52" customHeight="1">
      <x:c r="A13" s="14" t="n">
        <x:v>12</x:v>
      </x:c>
      <x:c r="B13" s="14" t="str">
        <x:v>AWS Cost Explorer</x:v>
      </x:c>
      <x:c r="C13" s="23" t="str">
        <x:v>推奨</x:v>
      </x:c>
      <x:c r="D13" s="14" t="str">
        <x:v>サービス別コスト分析</x:v>
      </x:c>
      <x:c r="E13" s="14" t="str">
        <x:v>コスト要因を月次分析できる。</x:v>
      </x:c>
      <x:c r="F13" s="14" t="str">
        <x:v>請求画面のみの分析になる。</x:v>
      </x:c>
      <x:c r="G13" s="14" t="str">
        <x:v>有効化</x:v>
      </x:c>
      <x:c r="H13" s="14" t="str">
        <x:v>API自動集計</x:v>
      </x:c>
      <x:c r="I13" s="14" t="str">
        <x:v>Billing</x:v>
      </x:c>
      <x:c r="J13" s="14" t="str">
        <x:v>API 1回0.01USD</x:v>
      </x:c>
      <x:c r="K13" s="14" t="str">
        <x:v>請求閲覧権限を限定</x:v>
      </x:c>
      <x:c r="L13" s="14" t="str">
        <x:v>月次レビュー</x:v>
      </x:c>
      <x:c r="M13" s="14" t="str">
        <x:v>アプリへの影響なし。</x:v>
      </x:c>
      <x:c r="N13" s="14" t="n">
        <x:v>4</x:v>
      </x:c>
      <x:c r="O13" s="14" t="str">
        <x:v>API多用を避ける。</x:v>
      </x:c>
    </x:row>
    <x:row r="14" ht="52" customHeight="1">
      <x:c r="A14" s="14" t="n">
        <x:v>13</x:v>
      </x:c>
      <x:c r="B14" s="14" t="str">
        <x:v>AWS CloudTrail</x:v>
      </x:c>
      <x:c r="C14" s="55" t="str">
        <x:v>必須</x:v>
      </x:c>
      <x:c r="D14" s="14" t="str">
        <x:v>AWS管理操作の監査</x:v>
      </x:c>
      <x:c r="E14" s="14" t="str">
        <x:v>誤削除・権限変更を追跡できる。</x:v>
      </x:c>
      <x:c r="F14" s="14" t="str">
        <x:v>障害調査が困難。</x:v>
      </x:c>
      <x:c r="G14" s="14" t="str">
        <x:v>管理イベント</x:v>
      </x:c>
      <x:c r="H14" s="14" t="str">
        <x:v>Data Events検討</x:v>
      </x:c>
      <x:c r="I14" s="14" t="str">
        <x:v>S3、CloudWatch任意</x:v>
      </x:c>
      <x:c r="J14" s="14" t="str">
        <x:v>データイベント、Insight等</x:v>
      </x:c>
      <x:c r="K14" s="14" t="str">
        <x:v>ログバケットを非公開・変更防止</x:v>
      </x:c>
      <x:c r="L14" s="14" t="str">
        <x:v>管理イベント中心、保持期限</x:v>
      </x:c>
      <x:c r="M14" s="14" t="str">
        <x:v>削除で監査証跡を失う。</x:v>
      </x:c>
      <x:c r="N14" s="14" t="n">
        <x:v>5</x:v>
      </x:c>
      <x:c r="O14" s="14" t="str">
        <x:v>S3 Data Eventsは初期無効。</x:v>
      </x:c>
    </x:row>
    <x:row r="15" ht="52" customHeight="1">
      <x:c r="A15" s="14" t="n">
        <x:v>14</x:v>
      </x:c>
      <x:c r="B15" s="14" t="str">
        <x:v>IAM Access Analyzer</x:v>
      </x:c>
      <x:c r="C15" s="23" t="str">
        <x:v>推奨</x:v>
      </x:c>
      <x:c r="D15" s="14" t="str">
        <x:v>S3・IAM等の外部公開検出</x:v>
      </x:c>
      <x:c r="E15" s="14" t="str">
        <x:v>External Access Analyzerは追加料金なし。</x:v>
      </x:c>
      <x:c r="F15" s="14" t="str">
        <x:v>誤公開を見逃す可能性。</x:v>
      </x:c>
      <x:c r="G15" s="14" t="str">
        <x:v>External Analyzer</x:v>
      </x:c>
      <x:c r="H15" s="14" t="str">
        <x:v>Unused/Internal検討</x:v>
      </x:c>
      <x:c r="I15" s="14" t="str">
        <x:v>IAM、S3</x:v>
      </x:c>
      <x:c r="J15" s="14" t="str">
        <x:v>高度機能のみ有料</x:v>
      </x:c>
      <x:c r="K15" s="14" t="str">
        <x:v>findingsの閲覧権限を限定</x:v>
      </x:c>
      <x:c r="L15" s="14" t="str">
        <x:v>定期的にfindings確認</x:v>
      </x:c>
      <x:c r="M15" s="14" t="str">
        <x:v>アプリへの影響なし。</x:v>
      </x:c>
      <x:c r="N15" s="14" t="n">
        <x:v>4</x:v>
      </x:c>
      <x:c r="O15" s="14" t="str">
        <x:v>無料機能中心。</x:v>
      </x:c>
    </x:row>
    <x:row r="16" ht="52" customHeight="1">
      <x:c r="A16" s="14" t="n">
        <x:v>15</x:v>
      </x:c>
      <x:c r="B16" s="14" t="str">
        <x:v>AWS Systems Manager Parameter Store</x:v>
      </x:c>
      <x:c r="C16" s="23" t="str">
        <x:v>推奨</x:v>
      </x:c>
      <x:c r="D16" s="14" t="str">
        <x:v>非機密設定値の管理</x:v>
      </x:c>
      <x:c r="E16" s="14" t="str">
        <x:v>Standard Parameterは追加料金なし。</x:v>
      </x:c>
      <x:c r="F16" s="14" t="str">
        <x:v>環境変数やtfvarsに分散。</x:v>
      </x:c>
      <x:c r="G16" s="14" t="str">
        <x:v>導入</x:v>
      </x:c>
      <x:c r="H16" s="14" t="str">
        <x:v>設定拡張</x:v>
      </x:c>
      <x:c r="I16" s="14" t="str">
        <x:v>Lambda</x:v>
      </x:c>
      <x:c r="J16" s="14" t="str">
        <x:v>Advanced、API高頻度</x:v>
      </x:c>
      <x:c r="K16" s="14" t="str">
        <x:v>機密値はSecureString/Secrets Managerと区別</x:v>
      </x:c>
      <x:c r="L16" s="14" t="str">
        <x:v>パラメータ命名・更新履歴管理</x:v>
      </x:c>
      <x:c r="M16" s="14" t="str">
        <x:v>削除でアプリ設定読込失敗。</x:v>
      </x:c>
      <x:c r="N16" s="14" t="n">
        <x:v>4</x:v>
      </x:c>
      <x:c r="O16" s="14" t="str">
        <x:v>値をTerraform stateへ不要に保存しない。</x:v>
      </x:c>
    </x:row>
    <x:row r="17" ht="52" customHeight="1">
      <x:c r="A17" s="14" t="n">
        <x:v>16</x:v>
      </x:c>
      <x:c r="B17" s="14" t="str">
        <x:v>AWS Secrets Manager</x:v>
      </x:c>
      <x:c r="C17" s="23" t="str">
        <x:v>推奨</x:v>
      </x:c>
      <x:c r="D17" s="14" t="str">
        <x:v>RDSマスターシークレット管理</x:v>
      </x:c>
      <x:c r="E17" s="14" t="str">
        <x:v>RDS管理パスワードをコードから分離。</x:v>
      </x:c>
      <x:c r="F17" s="14" t="str">
        <x:v>手動の秘密管理が必要。</x:v>
      </x:c>
      <x:c r="G17" s="14" t="str">
        <x:v>RDS用1件</x:v>
      </x:c>
      <x:c r="H17" s="14" t="str">
        <x:v>追加secretは精査</x:v>
      </x:c>
      <x:c r="I17" s="14" t="str">
        <x:v>RDS</x:v>
      </x:c>
      <x:c r="J17" s="14" t="str">
        <x:v>secret月額、API</x:v>
      </x:c>
      <x:c r="K17" s="14" t="str">
        <x:v>値をoutputしない、アクセスRole限定</x:v>
      </x:c>
      <x:c r="L17" s="14" t="str">
        <x:v>rotation・不要secret確認</x:v>
      </x:c>
      <x:c r="M17" s="14" t="str">
        <x:v>削除で管理接続へ影響。</x:v>
      </x:c>
      <x:c r="N17" s="14" t="n">
        <x:v>4</x:v>
      </x:c>
      <x:c r="O17" s="14" t="str">
        <x:v>通常アプリはIAM DB認証。</x:v>
      </x:c>
    </x:row>
    <x:row r="18" ht="52" customHeight="1">
      <x:c r="A18" s="14" t="n">
        <x:v>17</x:v>
      </x:c>
      <x:c r="B18" s="14" t="str">
        <x:v>AWS WAF</x:v>
      </x:c>
      <x:c r="C18" s="39" t="str">
        <x:v>条件付き採用</x:v>
      </x:c>
      <x:c r="D18" s="14" t="str">
        <x:v>レート制限・攻撃対策</x:v>
      </x:c>
      <x:c r="E18" s="14" t="str">
        <x:v>公開後のBot・不正利用対策を強化。</x:v>
      </x:c>
      <x:c r="F18" s="14" t="str">
        <x:v>API Gateway throttle等で一部代替。</x:v>
      </x:c>
      <x:c r="G18" s="14" t="str">
        <x:v>初期は不採用</x:v>
      </x:c>
      <x:c r="H18" s="14" t="str">
        <x:v>公開状況で導入</x:v>
      </x:c>
      <x:c r="I18" s="14" t="str">
        <x:v>CloudFront/API Gateway</x:v>
      </x:c>
      <x:c r="J18" s="14" t="str">
        <x:v>Web ACL、Rule、Request</x:v>
      </x:c>
      <x:c r="K18" s="14" t="str">
        <x:v>Count modeから導入</x:v>
      </x:c>
      <x:c r="L18" s="14" t="str">
        <x:v>誤遮断・料金を監視</x:v>
      </x:c>
      <x:c r="M18" s="14" t="str">
        <x:v>削除で保護が低下。</x:v>
      </x:c>
      <x:c r="N18" s="14" t="n">
        <x:v>2</x:v>
      </x:c>
      <x:c r="O18" s="14" t="str">
        <x:v>常設で約1,280円以上の可能性。</x:v>
      </x:c>
    </x:row>
    <x:row r="19" ht="52" customHeight="1">
      <x:c r="A19" s="14" t="n">
        <x:v>18</x:v>
      </x:c>
      <x:c r="B19" s="14" t="str">
        <x:v>Amazon ECR</x:v>
      </x:c>
      <x:c r="C19" s="31" t="str">
        <x:v>学習・検証用</x:v>
      </x:c>
      <x:c r="D19" s="14" t="str">
        <x:v>コンテナイメージ保存</x:v>
      </x:c>
      <x:c r="E19" s="14" t="str">
        <x:v>Lambda Container/ECSの学習に利用。</x:v>
      </x:c>
      <x:c r="F19" s="14" t="str">
        <x:v>ZIP/JAR配布では不要。</x:v>
      </x:c>
      <x:c r="G19" s="14" t="str">
        <x:v>sandboxのみ</x:v>
      </x:c>
      <x:c r="H19" s="14" t="str">
        <x:v>Fargate移行時</x:v>
      </x:c>
      <x:c r="I19" s="14" t="str">
        <x:v>Lambda/ECS</x:v>
      </x:c>
      <x:c r="J19" s="14" t="str">
        <x:v>イメージ容量</x:v>
      </x:c>
      <x:c r="K19" s="14" t="str">
        <x:v>image scan、tag immutability</x:v>
      </x:c>
      <x:c r="L19" s="14" t="str">
        <x:v>lifecycleで古いimage削除</x:v>
      </x:c>
      <x:c r="M19" s="14" t="str">
        <x:v>削除前に全image削除。</x:v>
      </x:c>
      <x:c r="N19" s="14" t="n">
        <x:v>2</x:v>
      </x:c>
      <x:c r="O19" s="14" t="str">
        <x:v>本番APIはZIP/JAR。</x:v>
      </x:c>
    </x:row>
    <x:row r="20" ht="52" customHeight="1">
      <x:c r="A20" s="14" t="n">
        <x:v>19</x:v>
      </x:c>
      <x:c r="B20" s="14" t="str">
        <x:v>AWS Backup</x:v>
      </x:c>
      <x:c r="C20" s="39" t="str">
        <x:v>条件付き採用</x:v>
      </x:c>
      <x:c r="D20" s="14" t="str">
        <x:v>バックアップ一元管理</x:v>
      </x:c>
      <x:c r="E20" s="14" t="str">
        <x:v>将来複数サービスの保持を統一できる。</x:v>
      </x:c>
      <x:c r="F20" s="14" t="str">
        <x:v>RDS自動backupとS3 lifecycleで代替。</x:v>
      </x:c>
      <x:c r="G20" s="14" t="str">
        <x:v>初期は不採用</x:v>
      </x:c>
      <x:c r="H20" s="14" t="str">
        <x:v>本番・複数環境</x:v>
      </x:c>
      <x:c r="I20" s="14" t="str">
        <x:v>RDS、S3</x:v>
      </x:c>
      <x:c r="J20" s="14" t="str">
        <x:v>保存GB、restore</x:v>
      </x:c>
      <x:c r="K20" s="14" t="str">
        <x:v>Vault policy、削除保護</x:v>
      </x:c>
      <x:c r="L20" s="14" t="str">
        <x:v>restore test、保持期限</x:v>
      </x:c>
      <x:c r="M20" s="14" t="str">
        <x:v>削除してもRecovery Pointが残る場合あり。</x:v>
      </x:c>
      <x:c r="N20" s="14" t="n">
        <x:v>2</x:v>
      </x:c>
      <x:c r="O20" s="14" t="str">
        <x:v>sandboxで検証。</x:v>
      </x:c>
    </x:row>
    <x:row r="21" ht="52" customHeight="1">
      <x:c r="A21" s="14" t="n">
        <x:v>20</x:v>
      </x:c>
      <x:c r="B21" s="14" t="str">
        <x:v>Amazon EventBridge Scheduler</x:v>
      </x:c>
      <x:c r="C21" s="23" t="str">
        <x:v>推奨</x:v>
      </x:c>
      <x:c r="D21" s="14" t="str">
        <x:v>RDS停止、定期処理</x:v>
      </x:c>
      <x:c r="E21" s="14" t="str">
        <x:v>停止忘れによる固定費増加を防ぐ。</x:v>
      </x:c>
      <x:c r="F21" s="14" t="str">
        <x:v>手動停止に依存。</x:v>
      </x:c>
      <x:c r="G21" s="14" t="str">
        <x:v>導入</x:v>
      </x:c>
      <x:c r="H21" s="14" t="str">
        <x:v>運用拡張</x:v>
      </x:c>
      <x:c r="I21" s="14" t="str">
        <x:v>Lambda、RDS</x:v>
      </x:c>
      <x:c r="J21" s="14" t="str">
        <x:v>実行回数</x:v>
      </x:c>
      <x:c r="K21" s="14" t="str">
        <x:v>実行Role最小権限</x:v>
      </x:c>
      <x:c r="L21" s="14" t="str">
        <x:v>スケジュールと失敗通知確認</x:v>
      </x:c>
      <x:c r="M21" s="14" t="str">
        <x:v>削除で自動停止しなくなる。</x:v>
      </x:c>
      <x:c r="N21" s="14" t="n">
        <x:v>5</x:v>
      </x:c>
      <x:c r="O21" s="14" t="str">
        <x:v>RDS 7日後再起動に対応。</x:v>
      </x:c>
    </x:row>
    <x:row r="22" ht="52" customHeight="1">
      <x:c r="A22" s="14" t="n">
        <x:v>21</x:v>
      </x:c>
      <x:c r="B22" s="14" t="str">
        <x:v>Amazon SNS</x:v>
      </x:c>
      <x:c r="C22" s="23" t="str">
        <x:v>推奨</x:v>
      </x:c>
      <x:c r="D22" s="14" t="str">
        <x:v>CloudWatch Alarm通知</x:v>
      </x:c>
      <x:c r="E22" s="14" t="str">
        <x:v>通知先をまとめられる。</x:v>
      </x:c>
      <x:c r="F22" s="14" t="str">
        <x:v>Alarmから直接メール等で代替。</x:v>
      </x:c>
      <x:c r="G22" s="14" t="str">
        <x:v>導入</x:v>
      </x:c>
      <x:c r="H22" s="14" t="str">
        <x:v>通知拡張</x:v>
      </x:c>
      <x:c r="I22" s="14" t="str">
        <x:v>CloudWatch</x:v>
      </x:c>
      <x:c r="J22" s="14" t="str">
        <x:v>通知数</x:v>
      </x:c>
      <x:c r="K22" s="14" t="str">
        <x:v>Topic policy</x:v>
      </x:c>
      <x:c r="L22" s="14" t="str">
        <x:v>subscription確認</x:v>
      </x:c>
      <x:c r="M22" s="14" t="str">
        <x:v>削除で通知停止。</x:v>
      </x:c>
      <x:c r="N22" s="14" t="n">
        <x:v>3</x:v>
      </x:c>
      <x:c r="O22" s="14" t="str">
        <x:v>メール通知中心。</x:v>
      </x:c>
    </x:row>
    <x:row r="23" ht="52" customHeight="1">
      <x:c r="A23" s="14" t="n">
        <x:v>22</x:v>
      </x:c>
      <x:c r="B23" s="14" t="str">
        <x:v>Amazon RDS Proxy</x:v>
      </x:c>
      <x:c r="C23" s="39" t="str">
        <x:v>条件付き採用</x:v>
      </x:c>
      <x:c r="D23" s="14" t="str">
        <x:v>LambdaのDB接続プール</x:v>
      </x:c>
      <x:c r="E23" s="14" t="str">
        <x:v>高同時実行時の接続枯渇を緩和。</x:v>
      </x:c>
      <x:c r="F23" s="14" t="str">
        <x:v>予約同時実行数と小さいpoolで代替。</x:v>
      </x:c>
      <x:c r="G23" s="14" t="str">
        <x:v>初期は不採用</x:v>
      </x:c>
      <x:c r="H23" s="14" t="str">
        <x:v>接続問題発生時</x:v>
      </x:c>
      <x:c r="I23" s="14" t="str">
        <x:v>RDS、Lambda、Secrets Manager</x:v>
      </x:c>
      <x:c r="J23" s="14" t="str">
        <x:v>vCPU時間</x:v>
      </x:c>
      <x:c r="K23" s="14" t="str">
        <x:v>認証・SG・secret管理</x:v>
      </x:c>
      <x:c r="L23" s="14" t="str">
        <x:v>接続数と費用を監視</x:v>
      </x:c>
      <x:c r="M23" s="14" t="str">
        <x:v>削除時に接続先変更が必要。</x:v>
      </x:c>
      <x:c r="N23" s="14" t="n">
        <x:v>2</x:v>
      </x:c>
      <x:c r="O23" s="14" t="str">
        <x:v>固定費増加。</x:v>
      </x:c>
    </x:row>
    <x:row r="24" ht="52" customHeight="1">
      <x:c r="A24" s="14" t="n">
        <x:v>23</x:v>
      </x:c>
      <x:c r="B24" s="14" t="str">
        <x:v>NAT Gateway</x:v>
      </x:c>
      <x:c r="C24" s="63" t="str">
        <x:v>非推奨</x:v>
      </x:c>
      <x:c r="D24" s="14" t="str">
        <x:v>Private Subnetからインターネットへの出口</x:v>
      </x:c>
      <x:c r="E24" s="14" t="str">
        <x:v>外部通信を一元化できる。</x:v>
      </x:c>
      <x:c r="F24" s="14" t="str">
        <x:v>S3 Gateway Endpoint等で代替。</x:v>
      </x:c>
      <x:c r="G24" s="14" t="str">
        <x:v>不採用</x:v>
      </x:c>
      <x:c r="H24" s="14" t="str">
        <x:v>外部API必須時のみ</x:v>
      </x:c>
      <x:c r="I24" s="14" t="str">
        <x:v>VPC</x:v>
      </x:c>
      <x:c r="J24" s="14" t="str">
        <x:v>時間 + GB処理</x:v>
      </x:c>
      <x:c r="K24" s="14" t="str">
        <x:v>経路・EIP管理</x:v>
      </x:c>
      <x:c r="L24" s="14" t="str">
        <x:v>常時課金を監視</x:v>
      </x:c>
      <x:c r="M24" s="14" t="str">
        <x:v>削除で外部通信停止。</x:v>
      </x:c>
      <x:c r="N24" s="14" t="n">
        <x:v>1</x:v>
      </x:c>
      <x:c r="O24" s="14" t="str">
        <x:v>時間料金だけで月約5,256円想定。</x:v>
      </x:c>
    </x:row>
    <x:row r="25" ht="52" customHeight="1">
      <x:c r="A25" s="14" t="n">
        <x:v>24</x:v>
      </x:c>
      <x:c r="B25" s="14" t="str">
        <x:v>Amazon VPC</x:v>
      </x:c>
      <x:c r="C25" s="55" t="str">
        <x:v>必須</x:v>
      </x:c>
      <x:c r="D25" s="14" t="str">
        <x:v>RDSとLambdaの閉域ネットワーク</x:v>
      </x:c>
      <x:c r="E25" s="14" t="str">
        <x:v>RDSをインターネット非公開にできる。</x:v>
      </x:c>
      <x:c r="F25" s="14" t="str">
        <x:v>RDS Public構成となりセキュリティ低下。</x:v>
      </x:c>
      <x:c r="G25" s="14" t="str">
        <x:v>導入</x:v>
      </x:c>
      <x:c r="H25" s="14" t="str">
        <x:v>継続</x:v>
      </x:c>
      <x:c r="I25" s="14" t="str">
        <x:v>RDS、Lambda、Endpoint</x:v>
      </x:c>
      <x:c r="J25" s="14" t="str">
        <x:v>基本機能0円、Endpoint別</x:v>
      </x:c>
      <x:c r="K25" s="14" t="str">
        <x:v>Subnet・SG最小化</x:v>
      </x:c>
      <x:c r="L25" s="14" t="str">
        <x:v>CIDR、ENI、Endpointを管理</x:v>
      </x:c>
      <x:c r="M25" s="14" t="str">
        <x:v>依存ENIがあると削除不可。</x:v>
      </x:c>
      <x:c r="N25" s="14" t="n">
        <x:v>5</x:v>
      </x:c>
      <x:c r="O25" s="14" t="str">
        <x:v>NATなし。</x:v>
      </x:c>
    </x:row>
    <x:row r="26" ht="52" customHeight="1">
      <x:c r="A26" s="14" t="n">
        <x:v>25</x:v>
      </x:c>
      <x:c r="B26" s="14" t="str">
        <x:v>S3 Gateway VPC Endpoint</x:v>
      </x:c>
      <x:c r="C26" s="23" t="str">
        <x:v>推奨</x:v>
      </x:c>
      <x:c r="D26" s="14" t="str">
        <x:v>Private LambdaからS3へ接続</x:v>
      </x:c>
      <x:c r="E26" s="14" t="str">
        <x:v>時間・データ処理料金なしでNATを回避。</x:v>
      </x:c>
      <x:c r="F26" s="14" t="str">
        <x:v>NATまたはPublic経路が必要。</x:v>
      </x:c>
      <x:c r="G26" s="14" t="str">
        <x:v>導入</x:v>
      </x:c>
      <x:c r="H26" s="14" t="str">
        <x:v>継続</x:v>
      </x:c>
      <x:c r="I26" s="14" t="str">
        <x:v>VPC、S3</x:v>
      </x:c>
      <x:c r="J26" s="14" t="str">
        <x:v>0円</x:v>
      </x:c>
      <x:c r="K26" s="14" t="str">
        <x:v>Endpoint policy最小化</x:v>
      </x:c>
      <x:c r="L26" s="14" t="str">
        <x:v>Route Table関連付けを確認</x:v>
      </x:c>
      <x:c r="M26" s="14" t="str">
        <x:v>削除でWorkerのS3アクセス停止。</x:v>
      </x:c>
      <x:c r="N26" s="14" t="n">
        <x:v>5</x:v>
      </x:c>
      <x:c r="O26" s="14" t="str">
        <x:v>Interface Endpointではない。</x:v>
      </x:c>
    </x:row>
  </x:sheetData>
  <x:conditionalFormatting sqref="N2:N26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{7FFE9645-067B-DE9D-A8EE-C15C63ABE60C}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51bb1da9ffd4a5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FFE9645-067B-DE9D-A8EE-C15C63ABE60C}">
            <x14:dataBar gradient="1">
              <x14:cfvo type="min"/>
              <x14:cfvo type="max"/>
              <x14:fillColor rgb="FF5B9BD5"/>
            </x14:dataBar>
          </x14:cfRule>
          <xm:sqref>N2:N26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6" hidden="0" customWidth="1"/>
    <x:col min="3" max="3" width="18" hidden="0" customWidth="1"/>
    <x:col min="4" max="4" width="36" hidden="0" customWidth="1"/>
    <x:col min="5" max="5" width="43" hidden="0" customWidth="1"/>
    <x:col min="6" max="6" width="30" hidden="0" customWidth="1"/>
    <x:col min="7" max="7" width="34" hidden="0" customWidth="1"/>
    <x:col min="8" max="8" width="38" hidden="0" customWidth="1"/>
    <x:col min="9" max="9" width="26" hidden="0" customWidth="1"/>
    <x:col min="10" max="10" width="32" hidden="0" customWidth="1"/>
    <x:col min="11" max="11" width="28" hidden="0" customWidth="1"/>
    <x:col min="12" max="12" width="14" hidden="0" customWidth="1"/>
    <x:col min="13" max="13" width="34" hidden="0" customWidth="1"/>
    <x:col min="14" max="14" width="38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</x:cols>
  <x:sheetData>
    <x:row r="1" ht="34" customHeight="1">
      <x:c r="A1" s="6" t="str">
        <x:v>No.</x:v>
      </x:c>
      <x:c r="B1" s="6" t="str">
        <x:v>パス</x:v>
      </x:c>
      <x:c r="C1" s="6" t="str">
        <x:v>種別</x:v>
      </x:c>
      <x:c r="D1" s="6" t="str">
        <x:v>役割</x:v>
      </x:c>
      <x:c r="E1" s="6" t="str">
        <x:v>主なresource</x:v>
      </x:c>
      <x:c r="F1" s="6" t="str">
        <x:v>主なmodule</x:v>
      </x:c>
      <x:c r="G1" s="6" t="str">
        <x:v>主なdata source</x:v>
      </x:c>
      <x:c r="H1" s="6" t="str">
        <x:v>主なvariables</x:v>
      </x:c>
      <x:c r="I1" s="6" t="str">
        <x:v>主なlocals</x:v>
      </x:c>
      <x:c r="J1" s="6" t="str">
        <x:v>主なoutputs</x:v>
      </x:c>
      <x:c r="K1" s="6" t="str">
        <x:v>依存先</x:v>
      </x:c>
      <x:c r="L1" s="6" t="str">
        <x:v>作成Step</x:v>
      </x:c>
      <x:c r="M1" s="6" t="str">
        <x:v>削除時の注意</x:v>
      </x:c>
      <x:c r="N1" s="6" t="str">
        <x:v>備考</x:v>
      </x:c>
      <x:c r="P1" s="71" t="str">
        <x:v>Terraformフォルダツリー</x:v>
      </x:c>
      <x:c r="Q1" s="71"/>
      <x:c r="R1" s="71"/>
      <x:c r="S1" s="71"/>
      <x:c r="T1" s="71"/>
      <x:c r="U1" s="71"/>
      <x:c r="V1" s="71"/>
    </x:row>
    <x:row r="2" ht="50" customHeight="1">
      <x:c r="A2" s="14" t="n">
        <x:v>1</x:v>
      </x:c>
      <x:c r="B2" s="14" t="str">
        <x:v>infra/</x:v>
      </x:c>
      <x:c r="C2" s="14" t="str">
        <x:v>ディレクトリ</x:v>
      </x:c>
      <x:c r="D2" s="14" t="str">
        <x:v>Terraform全体のルート</x:v>
      </x:c>
      <x:c r="E2" s="14" t="str">
        <x:v>なし</x:v>
      </x:c>
      <x:c r="F2" s="14" t="str">
        <x:v>なし</x:v>
      </x:c>
      <x:c r="G2" s="14" t="str">
        <x:v>なし</x:v>
      </x:c>
      <x:c r="H2" s="14" t="str">
        <x:v>なし</x:v>
      </x:c>
      <x:c r="I2" s="14" t="str">
        <x:v>なし</x:v>
      </x:c>
      <x:c r="J2" s="14" t="str">
        <x:v>なし</x:v>
      </x:c>
      <x:c r="K2" s="14" t="str">
        <x:v>なし</x:v>
      </x:c>
      <x:c r="L2" s="14" t="str">
        <x:v>全体</x:v>
      </x:c>
      <x:c r="M2" s="14" t="str">
        <x:v>stateと秘密値は含めない。</x:v>
      </x:c>
      <x:c r="N2" s="14" t="str">
        <x:v>READMEから実行順を案内。</x:v>
      </x:c>
      <x:c r="P2" s="78" t="str">
        <x:v>infra/</x:v>
      </x:c>
      <x:c r="Q2" s="78"/>
      <x:c r="R2" s="78"/>
      <x:c r="S2" s="78"/>
      <x:c r="T2" s="78"/>
      <x:c r="U2" s="78"/>
      <x:c r="V2" s="78"/>
    </x:row>
    <x:row r="3" ht="50" customHeight="1">
      <x:c r="A3" s="14" t="n">
        <x:v>2</x:v>
      </x:c>
      <x:c r="B3" s="14" t="str">
        <x:v>infra/README.md</x:v>
      </x:c>
      <x:c r="C3" s="14" t="str">
        <x:v>ドキュメント</x:v>
      </x:c>
      <x:c r="D3" s="14" t="str">
        <x:v>初期化・構築・検証・削除の入口</x:v>
      </x:c>
      <x:c r="E3" s="14" t="str">
        <x:v>なし</x:v>
      </x:c>
      <x:c r="F3" s="14" t="str">
        <x:v>なし</x:v>
      </x:c>
      <x:c r="G3" s="14" t="str">
        <x:v>なし</x:v>
      </x:c>
      <x:c r="H3" s="14" t="str">
        <x:v>なし</x:v>
      </x:c>
      <x:c r="I3" s="14" t="str">
        <x:v>なし</x:v>
      </x:c>
      <x:c r="J3" s="14" t="str">
        <x:v>なし</x:v>
      </x:c>
      <x:c r="K3" s="14" t="str">
        <x:v>全体</x:v>
      </x:c>
      <x:c r="L3" s="14" t="str">
        <x:v>全体</x:v>
      </x:c>
      <x:c r="M3" s="14" t="str">
        <x:v>削除不要。</x:v>
      </x:c>
      <x:c r="N3" s="14" t="str">
        <x:v>各stackのコマンドを記載。</x:v>
      </x:c>
      <x:c r="P3" s="78" t="str">
        <x:v>├─ README.md</x:v>
      </x:c>
      <x:c r="Q3" s="78"/>
      <x:c r="R3" s="78"/>
      <x:c r="S3" s="78"/>
      <x:c r="T3" s="78"/>
      <x:c r="U3" s="78"/>
      <x:c r="V3" s="78"/>
    </x:row>
    <x:row r="4" ht="50" customHeight="1">
      <x:c r="A4" s="14" t="n">
        <x:v>3</x:v>
      </x:c>
      <x:c r="B4" s="14" t="str">
        <x:v>infra/docs/architecture.md</x:v>
      </x:c>
      <x:c r="C4" s="14" t="str">
        <x:v>ドキュメント</x:v>
      </x:c>
      <x:c r="D4" s="14" t="str">
        <x:v>推奨構成と依存関係</x:v>
      </x:c>
      <x:c r="E4" s="14" t="str">
        <x:v>なし</x:v>
      </x:c>
      <x:c r="F4" s="14" t="str">
        <x:v>なし</x:v>
      </x:c>
      <x:c r="G4" s="14" t="str">
        <x:v>なし</x:v>
      </x:c>
      <x:c r="H4" s="14" t="str">
        <x:v>なし</x:v>
      </x:c>
      <x:c r="I4" s="14" t="str">
        <x:v>なし</x:v>
      </x:c>
      <x:c r="J4" s="14" t="str">
        <x:v>なし</x:v>
      </x:c>
      <x:c r="K4" s="14" t="str">
        <x:v>なし</x:v>
      </x:c>
      <x:c r="L4" s="14" t="str">
        <x:v>全体</x:v>
      </x:c>
      <x:c r="M4" s="14" t="str">
        <x:v>削除不要。</x:v>
      </x:c>
      <x:c r="N4" s="14" t="str">
        <x:v>Mermaid構成図を格納。</x:v>
      </x:c>
      <x:c r="P4" s="78" t="str">
        <x:v>├─ docs/</x:v>
      </x:c>
      <x:c r="Q4" s="78"/>
      <x:c r="R4" s="78"/>
      <x:c r="S4" s="78"/>
      <x:c r="T4" s="78"/>
      <x:c r="U4" s="78"/>
      <x:c r="V4" s="78"/>
    </x:row>
    <x:row r="5" ht="50" customHeight="1">
      <x:c r="A5" s="14" t="n">
        <x:v>4</x:v>
      </x:c>
      <x:c r="B5" s="14" t="str">
        <x:v>infra/docs/cost-assumptions.md</x:v>
      </x:c>
      <x:c r="C5" s="14" t="str">
        <x:v>ドキュメント</x:v>
      </x:c>
      <x:c r="D5" s="14" t="str">
        <x:v>コスト仮定と再計算手順</x:v>
      </x:c>
      <x:c r="E5" s="14" t="str">
        <x:v>なし</x:v>
      </x:c>
      <x:c r="F5" s="14" t="str">
        <x:v>なし</x:v>
      </x:c>
      <x:c r="G5" s="14" t="str">
        <x:v>なし</x:v>
      </x:c>
      <x:c r="H5" s="14" t="str">
        <x:v>exchange_rate等</x:v>
      </x:c>
      <x:c r="I5" s="14" t="str">
        <x:v>なし</x:v>
      </x:c>
      <x:c r="J5" s="14" t="str">
        <x:v>なし</x:v>
      </x:c>
      <x:c r="K5" s="14" t="str">
        <x:v>なし</x:v>
      </x:c>
      <x:c r="L5" s="14" t="str">
        <x:v>全体</x:v>
      </x:c>
      <x:c r="M5" s="14" t="str">
        <x:v>削除不要。</x:v>
      </x:c>
      <x:c r="N5" s="14" t="str">
        <x:v>Pricing Calculator更新日を記録。</x:v>
      </x:c>
      <x:c r="P5" s="78" t="str">
        <x:v>│  ├─ architecture.md</x:v>
      </x:c>
      <x:c r="Q5" s="78"/>
      <x:c r="R5" s="78"/>
      <x:c r="S5" s="78"/>
      <x:c r="T5" s="78"/>
      <x:c r="U5" s="78"/>
      <x:c r="V5" s="78"/>
    </x:row>
    <x:row r="6" ht="50" customHeight="1">
      <x:c r="A6" s="14" t="n">
        <x:v>5</x:v>
      </x:c>
      <x:c r="B6" s="14" t="str">
        <x:v>infra/docs/operation-runbook.md</x:v>
      </x:c>
      <x:c r="C6" s="14" t="str">
        <x:v>ドキュメント</x:v>
      </x:c>
      <x:c r="D6" s="14" t="str">
        <x:v>RDS停止、DLQ、障害対応</x:v>
      </x:c>
      <x:c r="E6" s="14" t="str">
        <x:v>なし</x:v>
      </x:c>
      <x:c r="F6" s="14" t="str">
        <x:v>なし</x:v>
      </x:c>
      <x:c r="G6" s="14" t="str">
        <x:v>なし</x:v>
      </x:c>
      <x:c r="H6" s="14" t="str">
        <x:v>なし</x:v>
      </x:c>
      <x:c r="I6" s="14" t="str">
        <x:v>なし</x:v>
      </x:c>
      <x:c r="J6" s="14" t="str">
        <x:v>なし</x:v>
      </x:c>
      <x:c r="K6" s="14" t="str">
        <x:v>全体</x:v>
      </x:c>
      <x:c r="L6" s="14" t="str">
        <x:v>全体</x:v>
      </x:c>
      <x:c r="M6" s="14" t="str">
        <x:v>削除不要。</x:v>
      </x:c>
      <x:c r="N6" s="14" t="str">
        <x:v>担当と頻度を明記。</x:v>
      </x:c>
      <x:c r="P6" s="78" t="str">
        <x:v>│  ├─ cost-assumptions.md</x:v>
      </x:c>
      <x:c r="Q6" s="78"/>
      <x:c r="R6" s="78"/>
      <x:c r="S6" s="78"/>
      <x:c r="T6" s="78"/>
      <x:c r="U6" s="78"/>
      <x:c r="V6" s="78"/>
    </x:row>
    <x:row r="7" ht="50" customHeight="1">
      <x:c r="A7" s="14" t="n">
        <x:v>6</x:v>
      </x:c>
      <x:c r="B7" s="14" t="str">
        <x:v>infra/docs/destroy-runbook.md</x:v>
      </x:c>
      <x:c r="C7" s="14" t="str">
        <x:v>ドキュメント</x:v>
      </x:c>
      <x:c r="D7" s="14" t="str">
        <x:v>逆順削除と残存課金確認</x:v>
      </x:c>
      <x:c r="E7" s="14" t="str">
        <x:v>なし</x:v>
      </x:c>
      <x:c r="F7" s="14" t="str">
        <x:v>なし</x:v>
      </x:c>
      <x:c r="G7" s="14" t="str">
        <x:v>なし</x:v>
      </x:c>
      <x:c r="H7" s="14" t="str">
        <x:v>なし</x:v>
      </x:c>
      <x:c r="I7" s="14" t="str">
        <x:v>なし</x:v>
      </x:c>
      <x:c r="J7" s="14" t="str">
        <x:v>なし</x:v>
      </x:c>
      <x:c r="K7" s="14" t="str">
        <x:v>全体</x:v>
      </x:c>
      <x:c r="L7" s="14" t="str">
        <x:v>全体</x:v>
      </x:c>
      <x:c r="M7" s="14" t="str">
        <x:v>削除不要。</x:v>
      </x:c>
      <x:c r="N7" s="14" t="str">
        <x:v>S3/RDS/stateを特別扱い。</x:v>
      </x:c>
      <x:c r="P7" s="78" t="str">
        <x:v>│  ├─ operation-runbook.md</x:v>
      </x:c>
      <x:c r="Q7" s="78"/>
      <x:c r="R7" s="78"/>
      <x:c r="S7" s="78"/>
      <x:c r="T7" s="78"/>
      <x:c r="U7" s="78"/>
      <x:c r="V7" s="78"/>
    </x:row>
    <x:row r="8" ht="50" customHeight="1">
      <x:c r="A8" s="14" t="n">
        <x:v>7</x:v>
      </x:c>
      <x:c r="B8" s="14" t="str">
        <x:v>infra/bootstrap/state-backend/</x:v>
      </x:c>
      <x:c r="C8" s="14" t="str">
        <x:v>bootstrap</x:v>
      </x:c>
      <x:c r="D8" s="14" t="str">
        <x:v>Budgetとremote state基盤</x:v>
      </x:c>
      <x:c r="E8" s="14" t="str">
        <x:v>aws_budgets_budget, aws_s3_bucket等</x:v>
      </x:c>
      <x:c r="F8" s="14" t="str">
        <x:v>state-backend, cost-control</x:v>
      </x:c>
      <x:c r="G8" s="14" t="str">
        <x:v>aws_caller_identity</x:v>
      </x:c>
      <x:c r="H8" s="14" t="str">
        <x:v>project_name, monthly_budget_usd</x:v>
      </x:c>
      <x:c r="I8" s="14" t="str">
        <x:v>name_prefix, common_tags</x:v>
      </x:c>
      <x:c r="J8" s="14" t="str">
        <x:v>state_bucket_name</x:v>
      </x:c>
      <x:c r="K8" s="14" t="str">
        <x:v>なし</x:v>
      </x:c>
      <x:c r="L8" s="14" t="str">
        <x:v>0-1</x:v>
      </x:c>
      <x:c r="M8" s="14" t="str">
        <x:v>state保存用S3は最後まで残す。</x:v>
      </x:c>
      <x:c r="N8" s="14" t="str">
        <x:v>初回のみlocal state。</x:v>
      </x:c>
      <x:c r="P8" s="78" t="str">
        <x:v>│  └─ destroy-runbook.md</x:v>
      </x:c>
      <x:c r="Q8" s="78"/>
      <x:c r="R8" s="78"/>
      <x:c r="S8" s="78"/>
      <x:c r="T8" s="78"/>
      <x:c r="U8" s="78"/>
      <x:c r="V8" s="78"/>
    </x:row>
    <x:row r="9" ht="50" customHeight="1">
      <x:c r="A9" s="14" t="n">
        <x:v>8</x:v>
      </x:c>
      <x:c r="B9" s="14" t="str">
        <x:v>infra/bootstrap/state-backend/versions.tf</x:v>
      </x:c>
      <x:c r="C9" s="14" t="str">
        <x:v>Terraformファイル</x:v>
      </x:c>
      <x:c r="D9" s="14" t="str">
        <x:v>Terraform/AWS Providerバージョン固定</x:v>
      </x:c>
      <x:c r="E9" s="14" t="str">
        <x:v>terraform.required_version, required_providers</x:v>
      </x:c>
      <x:c r="F9" s="14" t="str">
        <x:v>なし</x:v>
      </x:c>
      <x:c r="G9" s="14" t="str">
        <x:v>なし</x:v>
      </x:c>
      <x:c r="H9" s="14" t="str">
        <x:v>なし</x:v>
      </x:c>
      <x:c r="I9" s="14" t="str">
        <x:v>なし</x:v>
      </x:c>
      <x:c r="J9" s="14" t="str">
        <x:v>なし</x:v>
      </x:c>
      <x:c r="K9" s="14" t="str">
        <x:v>なし</x:v>
      </x:c>
      <x:c r="L9" s="14" t="str">
        <x:v>0</x:v>
      </x:c>
      <x:c r="M9" s="14" t="str">
        <x:v>更新は専用PR。</x:v>
      </x:c>
      <x:c r="N9" s="14" t="str">
        <x:v>Terraform=1.15.8、AWS Provider=6.55.0計画。</x:v>
      </x:c>
      <x:c r="P9" s="78" t="str">
        <x:v>├─ bootstrap/state-backend/</x:v>
      </x:c>
      <x:c r="Q9" s="78"/>
      <x:c r="R9" s="78"/>
      <x:c r="S9" s="78"/>
      <x:c r="T9" s="78"/>
      <x:c r="U9" s="78"/>
      <x:c r="V9" s="78"/>
    </x:row>
    <x:row r="10" ht="50" customHeight="1">
      <x:c r="A10" s="14" t="n">
        <x:v>9</x:v>
      </x:c>
      <x:c r="B10" s="14" t="str">
        <x:v>infra/bootstrap/state-backend/providers.tf</x:v>
      </x:c>
      <x:c r="C10" s="14" t="str">
        <x:v>Terraformファイル</x:v>
      </x:c>
      <x:c r="D10" s="14" t="str">
        <x:v>ap-northeast-1 Provider設定</x:v>
      </x:c>
      <x:c r="E10" s="14" t="str">
        <x:v>provider aws</x:v>
      </x:c>
      <x:c r="F10" s="14" t="str">
        <x:v>なし</x:v>
      </x:c>
      <x:c r="G10" s="14" t="str">
        <x:v>aws_caller_identity</x:v>
      </x:c>
      <x:c r="H10" s="14" t="str">
        <x:v>aws_region</x:v>
      </x:c>
      <x:c r="I10" s="14" t="str">
        <x:v>default_tags</x:v>
      </x:c>
      <x:c r="J10" s="14" t="str">
        <x:v>account_id</x:v>
      </x:c>
      <x:c r="K10" s="14" t="str">
        <x:v>versions.tf</x:v>
      </x:c>
      <x:c r="L10" s="14" t="str">
        <x:v>0</x:v>
      </x:c>
      <x:c r="M10" s="14" t="str">
        <x:v>Account/Region誤りに注意。</x:v>
      </x:c>
      <x:c r="N10" s="14" t="str">
        <x:v>CI OIDC Roleを使用。</x:v>
      </x:c>
      <x:c r="P10" s="78" t="str">
        <x:v>├─ modules/</x:v>
      </x:c>
      <x:c r="Q10" s="78"/>
      <x:c r="R10" s="78"/>
      <x:c r="S10" s="78"/>
      <x:c r="T10" s="78"/>
      <x:c r="U10" s="78"/>
      <x:c r="V10" s="78"/>
    </x:row>
    <x:row r="11" ht="50" customHeight="1">
      <x:c r="A11" s="14" t="n">
        <x:v>10</x:v>
      </x:c>
      <x:c r="B11" s="14" t="str">
        <x:v>infra/bootstrap/state-backend/budget.tf</x:v>
      </x:c>
      <x:c r="C11" s="14" t="str">
        <x:v>Terraformファイル</x:v>
      </x:c>
      <x:c r="D11" s="14" t="str">
        <x:v>初期Budget通知</x:v>
      </x:c>
      <x:c r="E11" s="14" t="str">
        <x:v>aws_budgets_budget</x:v>
      </x:c>
      <x:c r="F11" s="14" t="str">
        <x:v>cost-control</x:v>
      </x:c>
      <x:c r="G11" s="14" t="str">
        <x:v>なし</x:v>
      </x:c>
      <x:c r="H11" s="14" t="str">
        <x:v>monthly_budget_usd, notification_emails</x:v>
      </x:c>
      <x:c r="I11" s="14" t="str">
        <x:v>budget_thresholds</x:v>
      </x:c>
      <x:c r="J11" s="14" t="str">
        <x:v>budget_name</x:v>
      </x:c>
      <x:c r="K11" s="14" t="str">
        <x:v>providers.tf</x:v>
      </x:c>
      <x:c r="L11" s="14" t="str">
        <x:v>0</x:v>
      </x:c>
      <x:c r="M11" s="14" t="str">
        <x:v>削除すると通知停止。</x:v>
      </x:c>
      <x:c r="N11" s="14" t="str">
        <x:v>local stateで先行作成。</x:v>
      </x:c>
      <x:c r="P11" s="78" t="str">
        <x:v>│  ├─ network/</x:v>
      </x:c>
      <x:c r="Q11" s="78"/>
      <x:c r="R11" s="78"/>
      <x:c r="S11" s="78"/>
      <x:c r="T11" s="78"/>
      <x:c r="U11" s="78"/>
      <x:c r="V11" s="78"/>
    </x:row>
    <x:row r="12" ht="50" customHeight="1">
      <x:c r="A12" s="14" t="n">
        <x:v>11</x:v>
      </x:c>
      <x:c r="B12" s="14" t="str">
        <x:v>infra/bootstrap/state-backend/main.tf</x:v>
      </x:c>
      <x:c r="C12" s="14" t="str">
        <x:v>Terraformファイル</x:v>
      </x:c>
      <x:c r="D12" s="14" t="str">
        <x:v>state用S3バケット</x:v>
      </x:c>
      <x:c r="E12" s="14" t="str">
        <x:v>aws_s3_bucket, versioning, encryption, public_access_block, policy</x:v>
      </x:c>
      <x:c r="F12" s="14" t="str">
        <x:v>state-backend</x:v>
      </x:c>
      <x:c r="G12" s="14" t="str">
        <x:v>aws_caller_identity</x:v>
      </x:c>
      <x:c r="H12" s="14" t="str">
        <x:v>state_bucket_name</x:v>
      </x:c>
      <x:c r="I12" s="14" t="str">
        <x:v>common_tags</x:v>
      </x:c>
      <x:c r="J12" s="14" t="str">
        <x:v>state_bucket_name</x:v>
      </x:c>
      <x:c r="K12" s="14" t="str">
        <x:v>versions.tf, providers.tf</x:v>
      </x:c>
      <x:c r="L12" s="14" t="str">
        <x:v>1</x:v>
      </x:c>
      <x:c r="M12" s="14" t="str">
        <x:v>原則prevent_destroy。</x:v>
      </x:c>
      <x:c r="N12" s="14" t="str">
        <x:v>DynamoDB lockは作らない。</x:v>
      </x:c>
      <x:c r="P12" s="78" t="str">
        <x:v>│  ├─ frontend-storage/</x:v>
      </x:c>
      <x:c r="Q12" s="78"/>
      <x:c r="R12" s="78"/>
      <x:c r="S12" s="78"/>
      <x:c r="T12" s="78"/>
      <x:c r="U12" s="78"/>
      <x:c r="V12" s="78"/>
    </x:row>
    <x:row r="13" ht="50" customHeight="1">
      <x:c r="A13" s="14" t="n">
        <x:v>12</x:v>
      </x:c>
      <x:c r="B13" s="14" t="str">
        <x:v>infra/bootstrap/state-backend/variables.tf</x:v>
      </x:c>
      <x:c r="C13" s="14" t="str">
        <x:v>変数ファイル</x:v>
      </x:c>
      <x:c r="D13" s="14" t="str">
        <x:v>bootstrap入力定義</x:v>
      </x:c>
      <x:c r="E13" s="14" t="str">
        <x:v>variable</x:v>
      </x:c>
      <x:c r="F13" s="14" t="str">
        <x:v>なし</x:v>
      </x:c>
      <x:c r="G13" s="14" t="str">
        <x:v>なし</x:v>
      </x:c>
      <x:c r="H13" s="14" t="str">
        <x:v>project_name, aws_region, notification_emails</x:v>
      </x:c>
      <x:c r="I13" s="14" t="str">
        <x:v>なし</x:v>
      </x:c>
      <x:c r="J13" s="14" t="str">
        <x:v>なし</x:v>
      </x:c>
      <x:c r="K13" s="14" t="str">
        <x:v>なし</x:v>
      </x:c>
      <x:c r="L13" s="14" t="str">
        <x:v>0-1</x:v>
      </x:c>
      <x:c r="M13" s="14" t="str">
        <x:v>秘密値を定義しない。</x:v>
      </x:c>
      <x:c r="N13" s="14" t="str">
        <x:v>tfvars.exampleのみGit管理。</x:v>
      </x:c>
      <x:c r="P13" s="78" t="str">
        <x:v>│  ├─ audio-storage/</x:v>
      </x:c>
      <x:c r="Q13" s="78"/>
      <x:c r="R13" s="78"/>
      <x:c r="S13" s="78"/>
      <x:c r="T13" s="78"/>
      <x:c r="U13" s="78"/>
      <x:c r="V13" s="78"/>
    </x:row>
    <x:row r="14" ht="50" customHeight="1">
      <x:c r="A14" s="14" t="n">
        <x:v>13</x:v>
      </x:c>
      <x:c r="B14" s="14" t="str">
        <x:v>infra/bootstrap/state-backend/outputs.tf</x:v>
      </x:c>
      <x:c r="C14" s="14" t="str">
        <x:v>Terraformファイル</x:v>
      </x:c>
      <x:c r="D14" s="14" t="str">
        <x:v>backend設定に必要な値を出力</x:v>
      </x:c>
      <x:c r="E14" s="14" t="str">
        <x:v>output</x:v>
      </x:c>
      <x:c r="F14" s="14" t="str">
        <x:v>なし</x:v>
      </x:c>
      <x:c r="G14" s="14" t="str">
        <x:v>なし</x:v>
      </x:c>
      <x:c r="H14" s="14" t="str">
        <x:v>なし</x:v>
      </x:c>
      <x:c r="I14" s="14" t="str">
        <x:v>なし</x:v>
      </x:c>
      <x:c r="J14" s="14" t="str">
        <x:v>state_bucket_name</x:v>
      </x:c>
      <x:c r="K14" s="14" t="str">
        <x:v>main.tf</x:v>
      </x:c>
      <x:c r="L14" s="14" t="str">
        <x:v>1</x:v>
      </x:c>
      <x:c r="M14" s="14" t="str">
        <x:v>秘密値をoutputしない。</x:v>
      </x:c>
      <x:c r="N14" s="14" t="str">
        <x:v>backend.hcl作成に使用。</x:v>
      </x:c>
      <x:c r="P14" s="78" t="str">
        <x:v>│  ├─ queue/</x:v>
      </x:c>
      <x:c r="Q14" s="78"/>
      <x:c r="R14" s="78"/>
      <x:c r="S14" s="78"/>
      <x:c r="T14" s="78"/>
      <x:c r="U14" s="78"/>
      <x:c r="V14" s="78"/>
    </x:row>
    <x:row r="15" ht="50" customHeight="1">
      <x:c r="A15" s="14" t="n">
        <x:v>14</x:v>
      </x:c>
      <x:c r="B15" s="14" t="str">
        <x:v>infra/environments/dev/00-foundation/</x:v>
      </x:c>
      <x:c r="C15" s="14" t="str">
        <x:v>ディレクトリ</x:v>
      </x:c>
      <x:c r="D15" s="14" t="str">
        <x:v>VPC・Subnet・SG・S3 Endpoint</x:v>
      </x:c>
      <x:c r="E15" s="14" t="str">
        <x:v>VPC関連</x:v>
      </x:c>
      <x:c r="F15" s="14" t="str">
        <x:v>network</x:v>
      </x:c>
      <x:c r="G15" s="14" t="str">
        <x:v>aws_availability_zones等</x:v>
      </x:c>
      <x:c r="H15" s="14" t="str">
        <x:v>vpc_cidr, az_count</x:v>
      </x:c>
      <x:c r="I15" s="14" t="str">
        <x:v>name_prefix, common_tags</x:v>
      </x:c>
      <x:c r="J15" s="14" t="str">
        <x:v>vpc_id, private_subnet_ids, sg_ids</x:v>
      </x:c>
      <x:c r="K15" s="14" t="str">
        <x:v>bootstrap</x:v>
      </x:c>
      <x:c r="L15" s="14" t="str">
        <x:v>2-3</x:v>
      </x:c>
      <x:c r="M15" s="14" t="str">
        <x:v>依存ENIを先に削除。</x:v>
      </x:c>
      <x:c r="N15" s="14" t="str">
        <x:v>dev専用state。</x:v>
      </x:c>
      <x:c r="P15" s="78" t="str">
        <x:v>│  ├─ cognito/</x:v>
      </x:c>
      <x:c r="Q15" s="78"/>
      <x:c r="R15" s="78"/>
      <x:c r="S15" s="78"/>
      <x:c r="T15" s="78"/>
      <x:c r="U15" s="78"/>
      <x:c r="V15" s="78"/>
    </x:row>
    <x:row r="16" ht="50" customHeight="1">
      <x:c r="A16" s="14" t="n">
        <x:v>15</x:v>
      </x:c>
      <x:c r="B16" s="14" t="str">
        <x:v>infra/environments/dev/00-foundation/backend.hcl</x:v>
      </x:c>
      <x:c r="C16" s="14" t="str">
        <x:v>backend</x:v>
      </x:c>
      <x:c r="D16" s="14" t="str">
        <x:v>S3 backend key設定</x:v>
      </x:c>
      <x:c r="E16" s="14" t="str">
        <x:v>なし</x:v>
      </x:c>
      <x:c r="F16" s="14" t="str">
        <x:v>なし</x:v>
      </x:c>
      <x:c r="G16" s="14" t="str">
        <x:v>なし</x:v>
      </x:c>
      <x:c r="H16" s="14" t="str">
        <x:v>bucket, key, region, use_lockfile</x:v>
      </x:c>
      <x:c r="I16" s="14" t="str">
        <x:v>なし</x:v>
      </x:c>
      <x:c r="J16" s="14" t="str">
        <x:v>なし</x:v>
      </x:c>
      <x:c r="K16" s="14" t="str">
        <x:v>bootstrap</x:v>
      </x:c>
      <x:c r="L16" s="14" t="str">
        <x:v>2</x:v>
      </x:c>
      <x:c r="M16" s="14" t="str">
        <x:v>state bucketを先に削除しない。</x:v>
      </x:c>
      <x:c r="N16" s="14" t="str">
        <x:v>key=environments/dev/00-foundation.tfstate。</x:v>
      </x:c>
      <x:c r="P16" s="78" t="str">
        <x:v>│  ├─ rds/</x:v>
      </x:c>
      <x:c r="Q16" s="78"/>
      <x:c r="R16" s="78"/>
      <x:c r="S16" s="78"/>
      <x:c r="T16" s="78"/>
      <x:c r="U16" s="78"/>
      <x:c r="V16" s="78"/>
    </x:row>
    <x:row r="17" ht="50" customHeight="1">
      <x:c r="A17" s="14" t="n">
        <x:v>16</x:v>
      </x:c>
      <x:c r="B17" s="14" t="str">
        <x:v>infra/environments/dev/00-foundation/providers.tf</x:v>
      </x:c>
      <x:c r="C17" s="14" t="str">
        <x:v>Terraformファイル</x:v>
      </x:c>
      <x:c r="D17" s="14" t="str">
        <x:v>Providerと共通タグ</x:v>
      </x:c>
      <x:c r="E17" s="14" t="str">
        <x:v>provider aws</x:v>
      </x:c>
      <x:c r="F17" s="14" t="str">
        <x:v>なし</x:v>
      </x:c>
      <x:c r="G17" s="14" t="str">
        <x:v>aws_caller_identity, aws_region</x:v>
      </x:c>
      <x:c r="H17" s="14" t="str">
        <x:v>aws_region</x:v>
      </x:c>
      <x:c r="I17" s="14" t="str">
        <x:v>common_tags</x:v>
      </x:c>
      <x:c r="J17" s="14" t="str">
        <x:v>account_id</x:v>
      </x:c>
      <x:c r="K17" s="14" t="str">
        <x:v>backend.hcl</x:v>
      </x:c>
      <x:c r="L17" s="14" t="str">
        <x:v>2</x:v>
      </x:c>
      <x:c r="M17" s="14" t="str">
        <x:v>Account/Region確認。</x:v>
      </x:c>
      <x:c r="N17" s="14" t="str">
        <x:v>CI OIDC Roleを使用。</x:v>
      </x:c>
      <x:c r="P17" s="78" t="str">
        <x:v>│  ├─ lambda-api/</x:v>
      </x:c>
      <x:c r="Q17" s="78"/>
      <x:c r="R17" s="78"/>
      <x:c r="S17" s="78"/>
      <x:c r="T17" s="78"/>
      <x:c r="U17" s="78"/>
      <x:c r="V17" s="78"/>
    </x:row>
    <x:row r="18" ht="50" customHeight="1">
      <x:c r="A18" s="14" t="n">
        <x:v>17</x:v>
      </x:c>
      <x:c r="B18" s="14" t="str">
        <x:v>infra/environments/dev/00-foundation/vpc.tf</x:v>
      </x:c>
      <x:c r="C18" s="14" t="str">
        <x:v>Terraformファイル</x:v>
      </x:c>
      <x:c r="D18" s="14" t="str">
        <x:v>VPC・Private Subnet・SG・S3 Gateway Endpoint呼出</x:v>
      </x:c>
      <x:c r="E18" s="14" t="str">
        <x:v>aws_vpc等</x:v>
      </x:c>
      <x:c r="F18" s="14" t="str">
        <x:v>network</x:v>
      </x:c>
      <x:c r="G18" s="14" t="str">
        <x:v>aws_availability_zones</x:v>
      </x:c>
      <x:c r="H18" s="14" t="str">
        <x:v>vpc_cidr, private_subnet_cidrs</x:v>
      </x:c>
      <x:c r="I18" s="14" t="str">
        <x:v>name_prefix</x:v>
      </x:c>
      <x:c r="J18" s="14" t="str">
        <x:v>vpc_id, subnet_ids, endpoint_id</x:v>
      </x:c>
      <x:c r="K18" s="14" t="str">
        <x:v>providers.tf</x:v>
      </x:c>
      <x:c r="L18" s="14" t="str">
        <x:v>3</x:v>
      </x:c>
      <x:c r="M18" s="14" t="str">
        <x:v>RDS/Lambdaを先に削除。</x:v>
      </x:c>
      <x:c r="N18" s="14" t="str">
        <x:v>NAT Gatewayなし。</x:v>
      </x:c>
      <x:c r="P18" s="78" t="str">
        <x:v>│  ├─ api-gateway/</x:v>
      </x:c>
      <x:c r="Q18" s="78"/>
      <x:c r="R18" s="78"/>
      <x:c r="S18" s="78"/>
      <x:c r="T18" s="78"/>
      <x:c r="U18" s="78"/>
      <x:c r="V18" s="78"/>
    </x:row>
    <x:row r="19" ht="50" customHeight="1">
      <x:c r="A19" s="14" t="n">
        <x:v>18</x:v>
      </x:c>
      <x:c r="B19" s="14" t="str">
        <x:v>infra/environments/dev/10-storage-queue/</x:v>
      </x:c>
      <x:c r="C19" s="14" t="str">
        <x:v>ディレクトリ</x:v>
      </x:c>
      <x:c r="D19" s="14" t="str">
        <x:v>S3とSQSを段階構築</x:v>
      </x:c>
      <x:c r="E19" s="14" t="str">
        <x:v>S3/SQS関連</x:v>
      </x:c>
      <x:c r="F19" s="14" t="str">
        <x:v>frontend-storage, audio-storage, queue</x:v>
      </x:c>
      <x:c r="G19" s="14" t="str">
        <x:v>terraform_remote_state</x:v>
      </x:c>
      <x:c r="H19" s="14" t="str">
        <x:v>lifecycle, cors, queue settings</x:v>
      </x:c>
      <x:c r="I19" s="14" t="str">
        <x:v>common_tags</x:v>
      </x:c>
      <x:c r="J19" s="14" t="str">
        <x:v>bucket names, queue arns</x:v>
      </x:c>
      <x:c r="K19" s="14" t="str">
        <x:v>00-foundation</x:v>
      </x:c>
      <x:c r="L19" s="14" t="str">
        <x:v>4-6,13</x:v>
      </x:c>
      <x:c r="M19" s="14" t="str">
        <x:v>bucketを空にし、通知を解除。</x:v>
      </x:c>
      <x:c r="N19" s="14" t="str">
        <x:v>同一stackへ順次ファイル追加。</x:v>
      </x:c>
      <x:c r="P19" s="78" t="str">
        <x:v>│  ├─ lambda-worker/</x:v>
      </x:c>
      <x:c r="Q19" s="78"/>
      <x:c r="R19" s="78"/>
      <x:c r="S19" s="78"/>
      <x:c r="T19" s="78"/>
      <x:c r="U19" s="78"/>
      <x:c r="V19" s="78"/>
    </x:row>
    <x:row r="20" ht="50" customHeight="1">
      <x:c r="A20" s="14" t="n">
        <x:v>19</x:v>
      </x:c>
      <x:c r="B20" s="14" t="str">
        <x:v>infra/environments/dev/10-storage-queue/backend.hcl</x:v>
      </x:c>
      <x:c r="C20" s="14" t="str">
        <x:v>backend</x:v>
      </x:c>
      <x:c r="D20" s="14" t="str">
        <x:v>storage-queue state設定</x:v>
      </x:c>
      <x:c r="E20" s="14" t="str">
        <x:v>なし</x:v>
      </x:c>
      <x:c r="F20" s="14" t="str">
        <x:v>なし</x:v>
      </x:c>
      <x:c r="G20" s="14" t="str">
        <x:v>なし</x:v>
      </x:c>
      <x:c r="H20" s="14" t="str">
        <x:v>bucket, key, region, use_lockfile</x:v>
      </x:c>
      <x:c r="I20" s="14" t="str">
        <x:v>なし</x:v>
      </x:c>
      <x:c r="J20" s="14" t="str">
        <x:v>なし</x:v>
      </x:c>
      <x:c r="K20" s="14" t="str">
        <x:v>bootstrap</x:v>
      </x:c>
      <x:c r="L20" s="14" t="str">
        <x:v>4</x:v>
      </x:c>
      <x:c r="M20" s="14" t="str">
        <x:v>state bucketを残す。</x:v>
      </x:c>
      <x:c r="N20" s="14" t="str">
        <x:v>key=environments/dev/10-storage-queue.tfstate。</x:v>
      </x:c>
      <x:c r="P20" s="78" t="str">
        <x:v>│  ├─ cloudfront/</x:v>
      </x:c>
      <x:c r="Q20" s="78"/>
      <x:c r="R20" s="78"/>
      <x:c r="S20" s="78"/>
      <x:c r="T20" s="78"/>
      <x:c r="U20" s="78"/>
      <x:c r="V20" s="78"/>
    </x:row>
    <x:row r="21" ht="50" customHeight="1">
      <x:c r="A21" s="14" t="n">
        <x:v>20</x:v>
      </x:c>
      <x:c r="B21" s="14" t="str">
        <x:v>infra/environments/dev/10-storage-queue/s3_frontend.tf</x:v>
      </x:c>
      <x:c r="C21" s="14" t="str">
        <x:v>Terraformファイル</x:v>
      </x:c>
      <x:c r="D21" s="14" t="str">
        <x:v>React配信用非公開S3</x:v>
      </x:c>
      <x:c r="E21" s="14" t="str">
        <x:v>aws_s3_bucket等</x:v>
      </x:c>
      <x:c r="F21" s="14" t="str">
        <x:v>frontend-storage</x:v>
      </x:c>
      <x:c r="G21" s="14" t="str">
        <x:v>なし</x:v>
      </x:c>
      <x:c r="H21" s="14" t="str">
        <x:v>frontend_bucket_name</x:v>
      </x:c>
      <x:c r="I21" s="14" t="str">
        <x:v>common_tags</x:v>
      </x:c>
      <x:c r="J21" s="14" t="str">
        <x:v>frontend_bucket_name, arn</x:v>
      </x:c>
      <x:c r="K21" s="14" t="str">
        <x:v>providers.tf</x:v>
      </x:c>
      <x:c r="L21" s="14" t="str">
        <x:v>4</x:v>
      </x:c>
      <x:c r="M21" s="14" t="str">
        <x:v>object/version削除後にdestroy。</x:v>
      </x:c>
      <x:c r="N21" s="14" t="str">
        <x:v>CloudFront OACからのみ許可。</x:v>
      </x:c>
      <x:c r="P21" s="78" t="str">
        <x:v>│  ├─ dns-acm/</x:v>
      </x:c>
      <x:c r="Q21" s="78"/>
      <x:c r="R21" s="78"/>
      <x:c r="S21" s="78"/>
      <x:c r="T21" s="78"/>
      <x:c r="U21" s="78"/>
      <x:c r="V21" s="78"/>
    </x:row>
    <x:row r="22" ht="50" customHeight="1">
      <x:c r="A22" s="14" t="n">
        <x:v>21</x:v>
      </x:c>
      <x:c r="B22" s="14" t="str">
        <x:v>infra/environments/dev/10-storage-queue/s3_audio.tf</x:v>
      </x:c>
      <x:c r="C22" s="14" t="str">
        <x:v>Terraformファイル</x:v>
      </x:c>
      <x:c r="D22" s="14" t="str">
        <x:v>音声S3・CORS・lifecycle</x:v>
      </x:c>
      <x:c r="E22" s="14" t="str">
        <x:v>aws_s3_bucket等</x:v>
      </x:c>
      <x:c r="F22" s="14" t="str">
        <x:v>audio-storage</x:v>
      </x:c>
      <x:c r="G22" s="14" t="str">
        <x:v>なし</x:v>
      </x:c>
      <x:c r="H22" s="14" t="str">
        <x:v>max_upload_size, abort_days</x:v>
      </x:c>
      <x:c r="I22" s="14" t="str">
        <x:v>common_tags</x:v>
      </x:c>
      <x:c r="J22" s="14" t="str">
        <x:v>audio_bucket_name, arn</x:v>
      </x:c>
      <x:c r="K22" s="14" t="str">
        <x:v>00-foundation</x:v>
      </x:c>
      <x:c r="L22" s="14" t="str">
        <x:v>5</x:v>
      </x:c>
      <x:c r="M22" s="14" t="str">
        <x:v>全versionとmultipartを削除。</x:v>
      </x:c>
      <x:c r="N22" s="14" t="str">
        <x:v>uploads/のみイベント対象。</x:v>
      </x:c>
      <x:c r="P22" s="78" t="str">
        <x:v>│  ├─ monitoring/</x:v>
      </x:c>
      <x:c r="Q22" s="78"/>
      <x:c r="R22" s="78"/>
      <x:c r="S22" s="78"/>
      <x:c r="T22" s="78"/>
      <x:c r="U22" s="78"/>
      <x:c r="V22" s="78"/>
    </x:row>
    <x:row r="23" ht="50" customHeight="1">
      <x:c r="A23" s="14" t="n">
        <x:v>22</x:v>
      </x:c>
      <x:c r="B23" s="14" t="str">
        <x:v>infra/environments/dev/10-storage-queue/sqs.tf</x:v>
      </x:c>
      <x:c r="C23" s="14" t="str">
        <x:v>Terraformファイル</x:v>
      </x:c>
      <x:c r="D23" s="14" t="str">
        <x:v>処理QueueとDLQ</x:v>
      </x:c>
      <x:c r="E23" s="14" t="str">
        <x:v>aws_sqs_queue</x:v>
      </x:c>
      <x:c r="F23" s="14" t="str">
        <x:v>queue</x:v>
      </x:c>
      <x:c r="G23" s="14" t="str">
        <x:v>なし</x:v>
      </x:c>
      <x:c r="H23" s="14" t="str">
        <x:v>visibility_timeout, max_receive_count</x:v>
      </x:c>
      <x:c r="I23" s="14" t="str">
        <x:v>queue_names</x:v>
      </x:c>
      <x:c r="J23" s="14" t="str">
        <x:v>queue_arn, dlq_arn</x:v>
      </x:c>
      <x:c r="K23" s="14" t="str">
        <x:v>s3_audio.tf</x:v>
      </x:c>
      <x:c r="L23" s="14" t="str">
        <x:v>6</x:v>
      </x:c>
      <x:c r="M23" s="14" t="str">
        <x:v>残メッセージを確認。</x:v>
      </x:c>
      <x:c r="N23" s="14" t="str">
        <x:v>Standard Queue。</x:v>
      </x:c>
      <x:c r="P23" s="78" t="str">
        <x:v>│  ├─ cost-control/</x:v>
      </x:c>
      <x:c r="Q23" s="78"/>
      <x:c r="R23" s="78"/>
      <x:c r="S23" s="78"/>
      <x:c r="T23" s="78"/>
      <x:c r="U23" s="78"/>
      <x:c r="V23" s="78"/>
    </x:row>
    <x:row r="24" ht="50" customHeight="1">
      <x:c r="A24" s="14" t="n">
        <x:v>23</x:v>
      </x:c>
      <x:c r="B24" s="14" t="str">
        <x:v>infra/environments/dev/10-storage-queue/s3_notification.tf</x:v>
      </x:c>
      <x:c r="C24" s="14" t="str">
        <x:v>Terraformファイル</x:v>
      </x:c>
      <x:c r="D24" s="14" t="str">
        <x:v>S3→SQSイベント通知</x:v>
      </x:c>
      <x:c r="E24" s="14" t="str">
        <x:v>aws_s3_bucket_notification, aws_sqs_queue_policy</x:v>
      </x:c>
      <x:c r="F24" s="14" t="str">
        <x:v>audio-storage, queue</x:v>
      </x:c>
      <x:c r="G24" s="14" t="str">
        <x:v>terraform_remote_state</x:v>
      </x:c>
      <x:c r="H24" s="14" t="str">
        <x:v>event_prefix, event_suffix</x:v>
      </x:c>
      <x:c r="I24" s="14" t="str">
        <x:v>なし</x:v>
      </x:c>
      <x:c r="J24" s="14" t="str">
        <x:v>notification_id</x:v>
      </x:c>
      <x:c r="K24" s="14" t="str">
        <x:v>s3_audio.tf, sqs.tf</x:v>
      </x:c>
      <x:c r="L24" s="14" t="str">
        <x:v>13</x:v>
      </x:c>
      <x:c r="M24" s="14" t="str">
        <x:v>notificationを先に削除。</x:v>
      </x:c>
      <x:c r="N24" s="14" t="str">
        <x:v>重複を前提。</x:v>
      </x:c>
      <x:c r="P24" s="78" t="str">
        <x:v>│  └─ audit/</x:v>
      </x:c>
      <x:c r="Q24" s="78"/>
      <x:c r="R24" s="78"/>
      <x:c r="S24" s="78"/>
      <x:c r="T24" s="78"/>
      <x:c r="U24" s="78"/>
      <x:c r="V24" s="78"/>
    </x:row>
    <x:row r="25" ht="50" customHeight="1">
      <x:c r="A25" s="14" t="n">
        <x:v>24</x:v>
      </x:c>
      <x:c r="B25" s="14" t="str">
        <x:v>infra/environments/dev/20-auth/</x:v>
      </x:c>
      <x:c r="C25" s="14" t="str">
        <x:v>ディレクトリ</x:v>
      </x:c>
      <x:c r="D25" s="14" t="str">
        <x:v>Cognito</x:v>
      </x:c>
      <x:c r="E25" s="14" t="str">
        <x:v>Cognito関連</x:v>
      </x:c>
      <x:c r="F25" s="14" t="str">
        <x:v>cognito</x:v>
      </x:c>
      <x:c r="G25" s="14" t="str">
        <x:v>なし</x:v>
      </x:c>
      <x:c r="H25" s="14" t="str">
        <x:v>callback_urls, password_policy</x:v>
      </x:c>
      <x:c r="I25" s="14" t="str">
        <x:v>name_prefix</x:v>
      </x:c>
      <x:c r="J25" s="14" t="str">
        <x:v>user_pool_id, client_id</x:v>
      </x:c>
      <x:c r="K25" s="14" t="str">
        <x:v>bootstrap</x:v>
      </x:c>
      <x:c r="L25" s="14" t="str">
        <x:v>8</x:v>
      </x:c>
      <x:c r="M25" s="14" t="str">
        <x:v>ユーザー削除を承認。</x:v>
      </x:c>
      <x:c r="N25" s="14" t="str">
        <x:v>dev専用state。</x:v>
      </x:c>
      <x:c r="P25" s="78" t="str">
        <x:v>├─ environments/dev/</x:v>
      </x:c>
      <x:c r="Q25" s="78"/>
      <x:c r="R25" s="78"/>
      <x:c r="S25" s="78"/>
      <x:c r="T25" s="78"/>
      <x:c r="U25" s="78"/>
      <x:c r="V25" s="78"/>
    </x:row>
    <x:row r="26" ht="50" customHeight="1">
      <x:c r="A26" s="14" t="n">
        <x:v>25</x:v>
      </x:c>
      <x:c r="B26" s="14" t="str">
        <x:v>infra/environments/dev/20-auth/cognito.tf</x:v>
      </x:c>
      <x:c r="C26" s="14" t="str">
        <x:v>Terraformファイル</x:v>
      </x:c>
      <x:c r="D26" s="14" t="str">
        <x:v>User Pool・Client・Domain</x:v>
      </x:c>
      <x:c r="E26" s="14" t="str">
        <x:v>aws_cognito_user_pool等</x:v>
      </x:c>
      <x:c r="F26" s="14" t="str">
        <x:v>cognito</x:v>
      </x:c>
      <x:c r="G26" s="14" t="str">
        <x:v>なし</x:v>
      </x:c>
      <x:c r="H26" s="14" t="str">
        <x:v>callback_urls, logout_urls</x:v>
      </x:c>
      <x:c r="I26" s="14" t="str">
        <x:v>cognito_names</x:v>
      </x:c>
      <x:c r="J26" s="14" t="str">
        <x:v>user_pool_id, client_id, issuer</x:v>
      </x:c>
      <x:c r="K26" s="14" t="str">
        <x:v>providers.tf</x:v>
      </x:c>
      <x:c r="L26" s="14" t="str">
        <x:v>8</x:v>
      </x:c>
      <x:c r="M26" s="14" t="str">
        <x:v>削除で全ユーザー消失。</x:v>
      </x:c>
      <x:c r="N26" s="14" t="str">
        <x:v>Access TokenをAPIで使用。</x:v>
      </x:c>
      <x:c r="P26" s="78" t="str">
        <x:v>│  ├─ 00-foundation/</x:v>
      </x:c>
      <x:c r="Q26" s="78"/>
      <x:c r="R26" s="78"/>
      <x:c r="S26" s="78"/>
      <x:c r="T26" s="78"/>
      <x:c r="U26" s="78"/>
      <x:c r="V26" s="78"/>
    </x:row>
    <x:row r="27" ht="50" customHeight="1">
      <x:c r="A27" s="14" t="n">
        <x:v>26</x:v>
      </x:c>
      <x:c r="B27" s="14" t="str">
        <x:v>infra/environments/dev/30-database/</x:v>
      </x:c>
      <x:c r="C27" s="14" t="str">
        <x:v>ディレクトリ</x:v>
      </x:c>
      <x:c r="D27" s="14" t="str">
        <x:v>RDS PostgreSQL</x:v>
      </x:c>
      <x:c r="E27" s="14" t="str">
        <x:v>RDS関連</x:v>
      </x:c>
      <x:c r="F27" s="14" t="str">
        <x:v>rds</x:v>
      </x:c>
      <x:c r="G27" s="14" t="str">
        <x:v>terraform_remote_state</x:v>
      </x:c>
      <x:c r="H27" s="14" t="str">
        <x:v>instance_class, storage, backup_days</x:v>
      </x:c>
      <x:c r="I27" s="14" t="str">
        <x:v>db_identifier</x:v>
      </x:c>
      <x:c r="J27" s="14" t="str">
        <x:v>endpoint, port, secret_arn</x:v>
      </x:c>
      <x:c r="K27" s="14" t="str">
        <x:v>00-foundation</x:v>
      </x:c>
      <x:c r="L27" s="14" t="str">
        <x:v>10</x:v>
      </x:c>
      <x:c r="M27" s="14" t="str">
        <x:v>最終snapshotと削除保護確認。</x:v>
      </x:c>
      <x:c r="N27" s="14" t="str">
        <x:v>dev専用state。</x:v>
      </x:c>
      <x:c r="P27" s="78" t="str">
        <x:v>│  ├─ 10-storage-queue/</x:v>
      </x:c>
      <x:c r="Q27" s="78"/>
      <x:c r="R27" s="78"/>
      <x:c r="S27" s="78"/>
      <x:c r="T27" s="78"/>
      <x:c r="U27" s="78"/>
      <x:c r="V27" s="78"/>
    </x:row>
    <x:row r="28" ht="50" customHeight="1">
      <x:c r="A28" s="14" t="n">
        <x:v>27</x:v>
      </x:c>
      <x:c r="B28" s="14" t="str">
        <x:v>infra/environments/dev/30-database/rds.tf</x:v>
      </x:c>
      <x:c r="C28" s="14" t="str">
        <x:v>Terraformファイル</x:v>
      </x:c>
      <x:c r="D28" s="14" t="str">
        <x:v>DB subnet group・parameter・instance</x:v>
      </x:c>
      <x:c r="E28" s="14" t="str">
        <x:v>aws_db_instance等</x:v>
      </x:c>
      <x:c r="F28" s="14" t="str">
        <x:v>rds</x:v>
      </x:c>
      <x:c r="G28" s="14" t="str">
        <x:v>terraform_remote_state</x:v>
      </x:c>
      <x:c r="H28" s="14" t="str">
        <x:v>db_instance_class, allocated_storage</x:v>
      </x:c>
      <x:c r="I28" s="14" t="str">
        <x:v>db_name</x:v>
      </x:c>
      <x:c r="J28" s="14" t="str">
        <x:v>endpoint, db_resource_id</x:v>
      </x:c>
      <x:c r="K28" s="14" t="str">
        <x:v>00-foundation</x:v>
      </x:c>
      <x:c r="L28" s="14" t="str">
        <x:v>10</x:v>
      </x:c>
      <x:c r="M28" s="14" t="str">
        <x:v>deletion_protection解除を明示。</x:v>
      </x:c>
      <x:c r="N28" s="14" t="str">
        <x:v>publicly_accessible=false。</x:v>
      </x:c>
      <x:c r="P28" s="78" t="str">
        <x:v>│  ├─ 20-auth/</x:v>
      </x:c>
      <x:c r="Q28" s="78"/>
      <x:c r="R28" s="78"/>
      <x:c r="S28" s="78"/>
      <x:c r="T28" s="78"/>
      <x:c r="U28" s="78"/>
      <x:c r="V28" s="78"/>
    </x:row>
    <x:row r="29" ht="50" customHeight="1">
      <x:c r="A29" s="14" t="n">
        <x:v>28</x:v>
      </x:c>
      <x:c r="B29" s="14" t="str">
        <x:v>infra/environments/dev/40-backend/</x:v>
      </x:c>
      <x:c r="C29" s="14" t="str">
        <x:v>ディレクトリ</x:v>
      </x:c>
      <x:c r="D29" s="14" t="str">
        <x:v>Lambda/API/Worker</x:v>
      </x:c>
      <x:c r="E29" s="14" t="str">
        <x:v>Lambda/API関連</x:v>
      </x:c>
      <x:c r="F29" s="14" t="str">
        <x:v>lambda-api, api-gateway, lambda-worker</x:v>
      </x:c>
      <x:c r="G29" s="14" t="str">
        <x:v>terraform_remote_state</x:v>
      </x:c>
      <x:c r="H29" s="14" t="str">
        <x:v>artifact paths, memory, timeout</x:v>
      </x:c>
      <x:c r="I29" s="14" t="str">
        <x:v>lambda_names</x:v>
      </x:c>
      <x:c r="J29" s="14" t="str">
        <x:v>api_url, function_arns</x:v>
      </x:c>
      <x:c r="K29" s="14" t="str">
        <x:v>10-storage, auth, database</x:v>
      </x:c>
      <x:c r="L29" s="14" t="str">
        <x:v>7,9,11-14</x:v>
      </x:c>
      <x:c r="M29" s="14" t="str">
        <x:v>API→Lambda→mappingの順で削除。</x:v>
      </x:c>
      <x:c r="N29" s="14" t="str">
        <x:v>app artifactはCIで作成。</x:v>
      </x:c>
      <x:c r="P29" s="78" t="str">
        <x:v>│  ├─ 30-database/</x:v>
      </x:c>
      <x:c r="Q29" s="78"/>
      <x:c r="R29" s="78"/>
      <x:c r="S29" s="78"/>
      <x:c r="T29" s="78"/>
      <x:c r="U29" s="78"/>
      <x:c r="V29" s="78"/>
    </x:row>
    <x:row r="30" ht="50" customHeight="1">
      <x:c r="A30" s="14" t="n">
        <x:v>29</x:v>
      </x:c>
      <x:c r="B30" s="14" t="str">
        <x:v>infra/environments/dev/40-backend/lambda_smoke.tf</x:v>
      </x:c>
      <x:c r="C30" s="14" t="str">
        <x:v>Terraformファイル</x:v>
      </x:c>
      <x:c r="D30" s="14" t="str">
        <x:v>Java 25単体Lambda検証</x:v>
      </x:c>
      <x:c r="E30" s="14" t="str">
        <x:v>aws_lambda_function, log_group</x:v>
      </x:c>
      <x:c r="F30" s="14" t="str">
        <x:v>lambda-api</x:v>
      </x:c>
      <x:c r="G30" s="14" t="str">
        <x:v>なし</x:v>
      </x:c>
      <x:c r="H30" s="14" t="str">
        <x:v>artifact_path, runtime</x:v>
      </x:c>
      <x:c r="I30" s="14" t="str">
        <x:v>function_name</x:v>
      </x:c>
      <x:c r="J30" s="14" t="str">
        <x:v>function_arn</x:v>
      </x:c>
      <x:c r="K30" s="14" t="str">
        <x:v>bootstrap</x:v>
      </x:c>
      <x:c r="L30" s="14" t="str">
        <x:v>7</x:v>
      </x:c>
      <x:c r="M30" s="14" t="str">
        <x:v>本番API前に削除可能。</x:v>
      </x:c>
      <x:c r="N30" s="14" t="str">
        <x:v>最小handlerのみ。</x:v>
      </x:c>
      <x:c r="P30" s="78" t="str">
        <x:v>│  ├─ 40-backend/</x:v>
      </x:c>
      <x:c r="Q30" s="78"/>
      <x:c r="R30" s="78"/>
      <x:c r="S30" s="78"/>
      <x:c r="T30" s="78"/>
      <x:c r="U30" s="78"/>
      <x:c r="V30" s="78"/>
    </x:row>
    <x:row r="31" ht="50" customHeight="1">
      <x:c r="A31" s="14" t="n">
        <x:v>30</x:v>
      </x:c>
      <x:c r="B31" s="14" t="str">
        <x:v>infra/environments/dev/40-backend/api_gateway.tf</x:v>
      </x:c>
      <x:c r="C31" s="14" t="str">
        <x:v>Terraformファイル</x:v>
      </x:c>
      <x:c r="D31" s="14" t="str">
        <x:v>HTTP APIとJWT Authorizer</x:v>
      </x:c>
      <x:c r="E31" s="14" t="str">
        <x:v>aws_apigatewayv2_*</x:v>
      </x:c>
      <x:c r="F31" s="14" t="str">
        <x:v>api-gateway</x:v>
      </x:c>
      <x:c r="G31" s="14" t="str">
        <x:v>terraform_remote_state</x:v>
      </x:c>
      <x:c r="H31" s="14" t="str">
        <x:v>cors, throttle</x:v>
      </x:c>
      <x:c r="I31" s="14" t="str">
        <x:v>api_name</x:v>
      </x:c>
      <x:c r="J31" s="14" t="str">
        <x:v>api_endpoint</x:v>
      </x:c>
      <x:c r="K31" s="14" t="str">
        <x:v>20-auth</x:v>
      </x:c>
      <x:c r="L31" s="14" t="str">
        <x:v>9</x:v>
      </x:c>
      <x:c r="M31" s="14" t="str">
        <x:v>route/integrationを先に解除。</x:v>
      </x:c>
      <x:c r="N31" s="14" t="str">
        <x:v>JWT issuer/audience設定。</x:v>
      </x:c>
      <x:c r="P31" s="78" t="str">
        <x:v>│  ├─ 50-frontend/</x:v>
      </x:c>
      <x:c r="Q31" s="78"/>
      <x:c r="R31" s="78"/>
      <x:c r="S31" s="78"/>
      <x:c r="T31" s="78"/>
      <x:c r="U31" s="78"/>
      <x:c r="V31" s="78"/>
    </x:row>
    <x:row r="32" ht="50" customHeight="1">
      <x:c r="A32" s="14" t="n">
        <x:v>31</x:v>
      </x:c>
      <x:c r="B32" s="14" t="str">
        <x:v>infra/environments/dev/40-backend/lambda_api.tf</x:v>
      </x:c>
      <x:c r="C32" s="14" t="str">
        <x:v>Terraformファイル</x:v>
      </x:c>
      <x:c r="D32" s="14" t="str">
        <x:v>Spring Boot API Lambda</x:v>
      </x:c>
      <x:c r="E32" s="14" t="str">
        <x:v>aws_lambda_function, alias, permission</x:v>
      </x:c>
      <x:c r="F32" s="14" t="str">
        <x:v>lambda-api</x:v>
      </x:c>
      <x:c r="G32" s="14" t="str">
        <x:v>terraform_remote_state</x:v>
      </x:c>
      <x:c r="H32" s="14" t="str">
        <x:v>memory, timeout, reserved_concurrency</x:v>
      </x:c>
      <x:c r="I32" s="14" t="str">
        <x:v>env_map</x:v>
      </x:c>
      <x:c r="J32" s="14" t="str">
        <x:v>api_function_arn, alias_arn</x:v>
      </x:c>
      <x:c r="K32" s="14" t="str">
        <x:v>30-database, 20-auth</x:v>
      </x:c>
      <x:c r="L32" s="14" t="str">
        <x:v>11</x:v>
      </x:c>
      <x:c r="M32" s="14" t="str">
        <x:v>alias/permissionを先に削除。</x:v>
      </x:c>
      <x:c r="N32" s="14" t="str">
        <x:v>SnapStartはpublished versionに設定。</x:v>
      </x:c>
      <x:c r="P32" s="78" t="str">
        <x:v>│  └─ 60-operations/</x:v>
      </x:c>
      <x:c r="Q32" s="78"/>
      <x:c r="R32" s="78"/>
      <x:c r="S32" s="78"/>
      <x:c r="T32" s="78"/>
      <x:c r="U32" s="78"/>
      <x:c r="V32" s="78"/>
    </x:row>
    <x:row r="33" ht="50" customHeight="1">
      <x:c r="A33" s="14" t="n">
        <x:v>32</x:v>
      </x:c>
      <x:c r="B33" s="14" t="str">
        <x:v>infra/environments/dev/40-backend/presigned_upload.tf</x:v>
      </x:c>
      <x:c r="C33" s="14" t="str">
        <x:v>Terraformファイル</x:v>
      </x:c>
      <x:c r="D33" s="14" t="str">
        <x:v>署名URL発行権限・設定</x:v>
      </x:c>
      <x:c r="E33" s="14" t="str">
        <x:v>aws_iam_policy等</x:v>
      </x:c>
      <x:c r="F33" s="14" t="str">
        <x:v>lambda-api</x:v>
      </x:c>
      <x:c r="G33" s="14" t="str">
        <x:v>terraform_remote_state</x:v>
      </x:c>
      <x:c r="H33" s="14" t="str">
        <x:v>presigned_url_expiry_seconds, max_upload_size</x:v>
      </x:c>
      <x:c r="I33" s="14" t="str">
        <x:v>upload_prefix</x:v>
      </x:c>
      <x:c r="J33" s="14" t="str">
        <x:v>policy_arn</x:v>
      </x:c>
      <x:c r="K33" s="14" t="str">
        <x:v>s3_audio, lambda_api</x:v>
      </x:c>
      <x:c r="L33" s="14" t="str">
        <x:v>12</x:v>
      </x:c>
      <x:c r="M33" s="14" t="str">
        <x:v>IAM policy依存を解除。</x:v>
      </x:c>
      <x:c r="N33" s="14" t="str">
        <x:v>URLをstateへ保存しない。</x:v>
      </x:c>
      <x:c r="P33" s="78" t="str">
        <x:v>├─ sandboxes/dev/</x:v>
      </x:c>
      <x:c r="Q33" s="78"/>
      <x:c r="R33" s="78"/>
      <x:c r="S33" s="78"/>
      <x:c r="T33" s="78"/>
      <x:c r="U33" s="78"/>
      <x:c r="V33" s="78"/>
    </x:row>
    <x:row r="34" ht="50" customHeight="1">
      <x:c r="A34" s="14" t="n">
        <x:v>33</x:v>
      </x:c>
      <x:c r="B34" s="14" t="str">
        <x:v>infra/environments/dev/40-backend/lambda_worker.tf</x:v>
      </x:c>
      <x:c r="C34" s="14" t="str">
        <x:v>Terraformファイル</x:v>
      </x:c>
      <x:c r="D34" s="14" t="str">
        <x:v>SQS Workerとevent source mapping</x:v>
      </x:c>
      <x:c r="E34" s="14" t="str">
        <x:v>aws_lambda_function, aws_lambda_event_source_mapping</x:v>
      </x:c>
      <x:c r="F34" s="14" t="str">
        <x:v>lambda-worker</x:v>
      </x:c>
      <x:c r="G34" s="14" t="str">
        <x:v>terraform_remote_state</x:v>
      </x:c>
      <x:c r="H34" s="14" t="str">
        <x:v>memory, timeout, batch_size, concurrency</x:v>
      </x:c>
      <x:c r="I34" s="14" t="str">
        <x:v>worker_name</x:v>
      </x:c>
      <x:c r="J34" s="14" t="str">
        <x:v>worker_arn</x:v>
      </x:c>
      <x:c r="K34" s="14" t="str">
        <x:v>SQS, RDS, S3</x:v>
      </x:c>
      <x:c r="L34" s="14" t="str">
        <x:v>14</x:v>
      </x:c>
      <x:c r="M34" s="14" t="str">
        <x:v>mappingを先に無効化・削除。</x:v>
      </x:c>
      <x:c r="N34" s="14" t="str">
        <x:v>DLQはSQS側。</x:v>
      </x:c>
      <x:c r="P34" s="78" t="str">
        <x:v>└─ scripts/</x:v>
      </x:c>
      <x:c r="Q34" s="78"/>
      <x:c r="R34" s="78"/>
      <x:c r="S34" s="78"/>
      <x:c r="T34" s="78"/>
      <x:c r="U34" s="78"/>
      <x:c r="V34" s="78"/>
    </x:row>
    <x:row r="35" ht="50" customHeight="1">
      <x:c r="A35" s="14" t="n">
        <x:v>34</x:v>
      </x:c>
      <x:c r="B35" s="14" t="str">
        <x:v>infra/environments/dev/50-frontend/</x:v>
      </x:c>
      <x:c r="C35" s="14" t="str">
        <x:v>ディレクトリ</x:v>
      </x:c>
      <x:c r="D35" s="14" t="str">
        <x:v>CloudFront、DNS、ACM</x:v>
      </x:c>
      <x:c r="E35" s="14" t="str">
        <x:v>CloudFront/Route53/ACM</x:v>
      </x:c>
      <x:c r="F35" s="14" t="str">
        <x:v>cloudfront, dns-acm</x:v>
      </x:c>
      <x:c r="G35" s="14" t="str">
        <x:v>terraform_remote_state, aws_route53_zone</x:v>
      </x:c>
      <x:c r="H35" s="14" t="str">
        <x:v>domain_name, enable_custom_domain</x:v>
      </x:c>
      <x:c r="I35" s="14" t="str">
        <x:v>distribution_name</x:v>
      </x:c>
      <x:c r="J35" s="14" t="str">
        <x:v>distribution_domain</x:v>
      </x:c>
      <x:c r="K35" s="14" t="str">
        <x:v>storage, backend</x:v>
      </x:c>
      <x:c r="L35" s="14" t="str">
        <x:v>15-16</x:v>
      </x:c>
      <x:c r="M35" s="14" t="str">
        <x:v>CloudFront無効化後削除。</x:v>
      </x:c>
      <x:c r="N35" s="14" t="str">
        <x:v>ACM Provider alias us-east-1。</x:v>
      </x:c>
    </x:row>
    <x:row r="36" ht="50" customHeight="1">
      <x:c r="A36" s="14" t="n">
        <x:v>35</x:v>
      </x:c>
      <x:c r="B36" s="14" t="str">
        <x:v>infra/environments/dev/50-frontend/cloudfront.tf</x:v>
      </x:c>
      <x:c r="C36" s="14" t="str">
        <x:v>Terraformファイル</x:v>
      </x:c>
      <x:c r="D36" s="14" t="str">
        <x:v>OAC、Distribution、SPA配信</x:v>
      </x:c>
      <x:c r="E36" s="14" t="str">
        <x:v>aws_cloudfront_distribution, oac</x:v>
      </x:c>
      <x:c r="F36" s="14" t="str">
        <x:v>cloudfront</x:v>
      </x:c>
      <x:c r="G36" s="14" t="str">
        <x:v>terraform_remote_state</x:v>
      </x:c>
      <x:c r="H36" s="14" t="str">
        <x:v>cache_policy, price_class</x:v>
      </x:c>
      <x:c r="I36" s="14" t="str">
        <x:v>origin_id</x:v>
      </x:c>
      <x:c r="J36" s="14" t="str">
        <x:v>distribution_id, domain</x:v>
      </x:c>
      <x:c r="K36" s="14" t="str">
        <x:v>frontend S3</x:v>
      </x:c>
      <x:c r="L36" s="14" t="str">
        <x:v>15</x:v>
      </x:c>
      <x:c r="M36" s="14" t="str">
        <x:v>先にdisableし反映待ち。</x:v>
      </x:c>
      <x:c r="N36" s="14" t="str">
        <x:v>S3直接アクセス拒否を確認。</x:v>
      </x:c>
    </x:row>
    <x:row r="37" ht="50" customHeight="1">
      <x:c r="A37" s="14" t="n">
        <x:v>36</x:v>
      </x:c>
      <x:c r="B37" s="14" t="str">
        <x:v>infra/environments/dev/50-frontend/dns_acm.tf</x:v>
      </x:c>
      <x:c r="C37" s="14" t="str">
        <x:v>Terraformファイル</x:v>
      </x:c>
      <x:c r="D37" s="14" t="str">
        <x:v>独自ドメイン・証明書</x:v>
      </x:c>
      <x:c r="E37" s="14" t="str">
        <x:v>aws_acm_certificate, validation, route53_record</x:v>
      </x:c>
      <x:c r="F37" s="14" t="str">
        <x:v>dns-acm</x:v>
      </x:c>
      <x:c r="G37" s="14" t="str">
        <x:v>aws_route53_zone</x:v>
      </x:c>
      <x:c r="H37" s="14" t="str">
        <x:v>domain_name</x:v>
      </x:c>
      <x:c r="I37" s="14" t="str">
        <x:v>record_names</x:v>
      </x:c>
      <x:c r="J37" s="14" t="str">
        <x:v>certificate_arn</x:v>
      </x:c>
      <x:c r="K37" s="14" t="str">
        <x:v>CloudFront</x:v>
      </x:c>
      <x:c r="L37" s="14" t="str">
        <x:v>16</x:v>
      </x:c>
      <x:c r="M37" s="14" t="str">
        <x:v>使用中certは削除不可。</x:v>
      </x:c>
      <x:c r="N37" s="14" t="str">
        <x:v>初期はenable=false可。</x:v>
      </x:c>
    </x:row>
    <x:row r="38" ht="50" customHeight="1">
      <x:c r="A38" s="14" t="n">
        <x:v>37</x:v>
      </x:c>
      <x:c r="B38" s="14" t="str">
        <x:v>infra/environments/dev/60-operations/</x:v>
      </x:c>
      <x:c r="C38" s="14" t="str">
        <x:v>ディレクトリ</x:v>
      </x:c>
      <x:c r="D38" s="14" t="str">
        <x:v>監視・監査・自動停止</x:v>
      </x:c>
      <x:c r="E38" s="14" t="str">
        <x:v>CloudWatch/Budget/Trail等</x:v>
      </x:c>
      <x:c r="F38" s="14" t="str">
        <x:v>monitoring, cost-control, audit</x:v>
      </x:c>
      <x:c r="G38" s="14" t="str">
        <x:v>terraform_remote_state</x:v>
      </x:c>
      <x:c r="H38" s="14" t="str">
        <x:v>thresholds, log_retention</x:v>
      </x:c>
      <x:c r="I38" s="14" t="str">
        <x:v>alarm_names</x:v>
      </x:c>
      <x:c r="J38" s="14" t="str">
        <x:v>alarm/topic/trail arns</x:v>
      </x:c>
      <x:c r="K38" s="14" t="str">
        <x:v>全stack</x:v>
      </x:c>
      <x:c r="L38" s="14" t="str">
        <x:v>0,17-18</x:v>
      </x:c>
      <x:c r="M38" s="14" t="str">
        <x:v>通知・Scheduler削除で運用低下。</x:v>
      </x:c>
      <x:c r="N38" s="14" t="str">
        <x:v>Budgetはbootstrapと責務整理。</x:v>
      </x:c>
    </x:row>
    <x:row r="39" ht="50" customHeight="1">
      <x:c r="A39" s="14" t="n">
        <x:v>38</x:v>
      </x:c>
      <x:c r="B39" s="14" t="str">
        <x:v>infra/environments/dev/60-operations/monitoring.tf</x:v>
      </x:c>
      <x:c r="C39" s="14" t="str">
        <x:v>Terraformファイル</x:v>
      </x:c>
      <x:c r="D39" s="14" t="str">
        <x:v>Log GroupとAlarm</x:v>
      </x:c>
      <x:c r="E39" s="14" t="str">
        <x:v>aws_cloudwatch_log_group, metric_alarm, sns_topic</x:v>
      </x:c>
      <x:c r="F39" s="14" t="str">
        <x:v>monitoring</x:v>
      </x:c>
      <x:c r="G39" s="14" t="str">
        <x:v>terraform_remote_state</x:v>
      </x:c>
      <x:c r="H39" s="14" t="str">
        <x:v>log_retention_days, alarm_thresholds</x:v>
      </x:c>
      <x:c r="I39" s="14" t="str">
        <x:v>alarm_names</x:v>
      </x:c>
      <x:c r="J39" s="14" t="str">
        <x:v>alarm_arns</x:v>
      </x:c>
      <x:c r="K39" s="14" t="str">
        <x:v>backend/frontend/database</x:v>
      </x:c>
      <x:c r="L39" s="14" t="str">
        <x:v>17</x:v>
      </x:c>
      <x:c r="M39" s="14" t="str">
        <x:v>ログ保持要否を確認。</x:v>
      </x:c>
      <x:c r="N39" s="14" t="str">
        <x:v>機密ログ禁止。</x:v>
      </x:c>
    </x:row>
    <x:row r="40" ht="50" customHeight="1">
      <x:c r="A40" s="14" t="n">
        <x:v>39</x:v>
      </x:c>
      <x:c r="B40" s="14" t="str">
        <x:v>infra/environments/dev/60-operations/scheduler.tf</x:v>
      </x:c>
      <x:c r="C40" s="14" t="str">
        <x:v>Terraformファイル</x:v>
      </x:c>
      <x:c r="D40" s="14" t="str">
        <x:v>RDS停止スケジュール</x:v>
      </x:c>
      <x:c r="E40" s="14" t="str">
        <x:v>aws_scheduler_schedule, role</x:v>
      </x:c>
      <x:c r="F40" s="14" t="str">
        <x:v>cost-control</x:v>
      </x:c>
      <x:c r="G40" s="14" t="str">
        <x:v>terraform_remote_state</x:v>
      </x:c>
      <x:c r="H40" s="14" t="str">
        <x:v>start_stop_schedule</x:v>
      </x:c>
      <x:c r="I40" s="14" t="str">
        <x:v>schedule_names</x:v>
      </x:c>
      <x:c r="J40" s="14" t="str">
        <x:v>schedule_arn</x:v>
      </x:c>
      <x:c r="K40" s="14" t="str">
        <x:v>RDS</x:v>
      </x:c>
      <x:c r="L40" s="14" t="str">
        <x:v>17</x:v>
      </x:c>
      <x:c r="M40" s="14" t="str">
        <x:v>削除で停止忘れリスク。</x:v>
      </x:c>
      <x:c r="N40" s="14" t="str">
        <x:v>7日後再起動へ対応。</x:v>
      </x:c>
    </x:row>
    <x:row r="41" ht="50" customHeight="1">
      <x:c r="A41" s="14" t="n">
        <x:v>40</x:v>
      </x:c>
      <x:c r="B41" s="14" t="str">
        <x:v>infra/environments/dev/60-operations/audit.tf</x:v>
      </x:c>
      <x:c r="C41" s="14" t="str">
        <x:v>Terraformファイル</x:v>
      </x:c>
      <x:c r="D41" s="14" t="str">
        <x:v>CloudTrailとAccess Analyzer</x:v>
      </x:c>
      <x:c r="E41" s="14" t="str">
        <x:v>aws_cloudtrail, aws_accessanalyzer_analyzer</x:v>
      </x:c>
      <x:c r="F41" s="14" t="str">
        <x:v>audit</x:v>
      </x:c>
      <x:c r="G41" s="14" t="str">
        <x:v>terraform_remote_state</x:v>
      </x:c>
      <x:c r="H41" s="14" t="str">
        <x:v>trail_retention</x:v>
      </x:c>
      <x:c r="I41" s="14" t="str">
        <x:v>audit_names</x:v>
      </x:c>
      <x:c r="J41" s="14" t="str">
        <x:v>trail_arn</x:v>
      </x:c>
      <x:c r="K41" s="14" t="str">
        <x:v>S3</x:v>
      </x:c>
      <x:c r="L41" s="14" t="str">
        <x:v>18</x:v>
      </x:c>
      <x:c r="M41" s="14" t="str">
        <x:v>監査ログ保持を判断。</x:v>
      </x:c>
      <x:c r="N41" s="14" t="str">
        <x:v>Data Eventsは無効。</x:v>
      </x:c>
    </x:row>
    <x:row r="42" ht="50" customHeight="1">
      <x:c r="A42" s="14" t="n">
        <x:v>41</x:v>
      </x:c>
      <x:c r="B42" s="14" t="str">
        <x:v>infra/sandboxes/dev/</x:v>
      </x:c>
      <x:c r="C42" s="14" t="str">
        <x:v>ディレクトリ</x:v>
      </x:c>
      <x:c r="D42" s="14" t="str">
        <x:v>サービス単体の作成・検証・削除</x:v>
      </x:c>
      <x:c r="E42" s="14" t="str">
        <x:v>対象サービス</x:v>
      </x:c>
      <x:c r="F42" s="14" t="str">
        <x:v>対象module</x:v>
      </x:c>
      <x:c r="G42" s="14" t="str">
        <x:v>必要に応じる</x:v>
      </x:c>
      <x:c r="H42" s="14" t="str">
        <x:v>最小値</x:v>
      </x:c>
      <x:c r="I42" s="14" t="str">
        <x:v>sandbox_name</x:v>
      </x:c>
      <x:c r="J42" s="14" t="str">
        <x:v>検証output</x:v>
      </x:c>
      <x:c r="K42" s="14" t="str">
        <x:v>bootstrap</x:v>
      </x:c>
      <x:c r="L42" s="14" t="str">
        <x:v>19</x:v>
      </x:c>
      <x:c r="M42" s="14" t="str">
        <x:v>検証完了後destroy。</x:v>
      </x:c>
      <x:c r="N42" s="14" t="str">
        <x:v>本体stateと完全分離。</x:v>
      </x:c>
    </x:row>
    <x:row r="43" ht="50" customHeight="1">
      <x:c r="A43" s="14" t="n">
        <x:v>42</x:v>
      </x:c>
      <x:c r="B43" s="14" t="str">
        <x:v>infra/sandboxes/dev/ecr/main.tf</x:v>
      </x:c>
      <x:c r="C43" s="14" t="str">
        <x:v>Terraformファイル</x:v>
      </x:c>
      <x:c r="D43" s="14" t="str">
        <x:v>ECR単体検証</x:v>
      </x:c>
      <x:c r="E43" s="14" t="str">
        <x:v>aws_ecr_repository, lifecycle_policy</x:v>
      </x:c>
      <x:c r="F43" s="14" t="str">
        <x:v>なし</x:v>
      </x:c>
      <x:c r="G43" s="14" t="str">
        <x:v>なし</x:v>
      </x:c>
      <x:c r="H43" s="14" t="str">
        <x:v>repository_name</x:v>
      </x:c>
      <x:c r="I43" s="14" t="str">
        <x:v>なし</x:v>
      </x:c>
      <x:c r="J43" s="14" t="str">
        <x:v>repository_url</x:v>
      </x:c>
      <x:c r="K43" s="14" t="str">
        <x:v>bootstrap</x:v>
      </x:c>
      <x:c r="L43" s="14" t="str">
        <x:v>19</x:v>
      </x:c>
      <x:c r="M43" s="14" t="str">
        <x:v>全image削除。</x:v>
      </x:c>
      <x:c r="N43" s="14" t="str">
        <x:v>本番利用しない。</x:v>
      </x:c>
    </x:row>
    <x:row r="44" ht="50" customHeight="1">
      <x:c r="A44" s="14" t="n">
        <x:v>43</x:v>
      </x:c>
      <x:c r="B44" s="14" t="str">
        <x:v>infra/sandboxes/dev/backup/main.tf</x:v>
      </x:c>
      <x:c r="C44" s="14" t="str">
        <x:v>Terraformファイル</x:v>
      </x:c>
      <x:c r="D44" s="14" t="str">
        <x:v>AWS Backup単体検証</x:v>
      </x:c>
      <x:c r="E44" s="14" t="str">
        <x:v>aws_backup_vault, plan, selection</x:v>
      </x:c>
      <x:c r="F44" s="14" t="str">
        <x:v>なし</x:v>
      </x:c>
      <x:c r="G44" s="14" t="str">
        <x:v>なし</x:v>
      </x:c>
      <x:c r="H44" s="14" t="str">
        <x:v>retention_days</x:v>
      </x:c>
      <x:c r="I44" s="14" t="str">
        <x:v>なし</x:v>
      </x:c>
      <x:c r="J44" s="14" t="str">
        <x:v>vault_arn</x:v>
      </x:c>
      <x:c r="K44" s="14" t="str">
        <x:v>対象sandbox</x:v>
      </x:c>
      <x:c r="L44" s="14" t="str">
        <x:v>19</x:v>
      </x:c>
      <x:c r="M44" s="14" t="str">
        <x:v>Recovery Point残存確認。</x:v>
      </x:c>
      <x:c r="N44" s="14" t="str">
        <x:v>本番採用は条件付き。</x:v>
      </x:c>
    </x:row>
    <x:row r="45" ht="50" customHeight="1">
      <x:c r="A45" s="14" t="n">
        <x:v>44</x:v>
      </x:c>
      <x:c r="B45" s="14" t="str">
        <x:v>infra/.terraform.lock.hcl</x:v>
      </x:c>
      <x:c r="C45" s="14" t="str">
        <x:v>設定ファイル</x:v>
      </x:c>
      <x:c r="D45" s="14" t="str">
        <x:v>Provider version/checksum固定</x:v>
      </x:c>
      <x:c r="E45" s="14" t="str">
        <x:v>なし</x:v>
      </x:c>
      <x:c r="F45" s="14" t="str">
        <x:v>なし</x:v>
      </x:c>
      <x:c r="G45" s="14" t="str">
        <x:v>なし</x:v>
      </x:c>
      <x:c r="H45" s="14" t="str">
        <x:v>なし</x:v>
      </x:c>
      <x:c r="I45" s="14" t="str">
        <x:v>なし</x:v>
      </x:c>
      <x:c r="J45" s="14" t="str">
        <x:v>なし</x:v>
      </x:c>
      <x:c r="K45" s="14" t="str">
        <x:v>versions.tf</x:v>
      </x:c>
      <x:c r="L45" s="14" t="str">
        <x:v>全体</x:v>
      </x:c>
      <x:c r="M45" s="14" t="str">
        <x:v>削除せずGit管理。</x:v>
      </x:c>
      <x:c r="N45" s="14" t="str">
        <x:v>環境ごとではなく方針を統一。</x:v>
      </x:c>
    </x:row>
    <x:row r="46" ht="50" customHeight="1">
      <x:c r="A46" s="14" t="n">
        <x:v>45</x:v>
      </x:c>
      <x:c r="B46" s="14" t="str">
        <x:v>infra/**/terraform.tfvars.example</x:v>
      </x:c>
      <x:c r="C46" s="14" t="str">
        <x:v>変数ファイル</x:v>
      </x:c>
      <x:c r="D46" s="14" t="str">
        <x:v>非機密の入力例</x:v>
      </x:c>
      <x:c r="E46" s="14" t="str">
        <x:v>なし</x:v>
      </x:c>
      <x:c r="F46" s="14" t="str">
        <x:v>なし</x:v>
      </x:c>
      <x:c r="G46" s="14" t="str">
        <x:v>なし</x:v>
      </x:c>
      <x:c r="H46" s="14" t="str">
        <x:v>変数例</x:v>
      </x:c>
      <x:c r="I46" s="14" t="str">
        <x:v>なし</x:v>
      </x:c>
      <x:c r="J46" s="14" t="str">
        <x:v>なし</x:v>
      </x:c>
      <x:c r="K46" s="14" t="str">
        <x:v>variables.tf</x:v>
      </x:c>
      <x:c r="L46" s="14" t="str">
        <x:v>全体</x:v>
      </x:c>
      <x:c r="M46" s="14" t="str">
        <x:v>実値tfvarsはGit除外。</x:v>
      </x:c>
      <x:c r="N46" s="14" t="str">
        <x:v>passwordやtokenを書かない。</x:v>
      </x:c>
    </x:row>
  </x:sheetData>
  <x:mergeCells>
    <x:mergeCell ref="P1:V1"/>
  </x:mergeCells>
  <x:pageMargins left="0.7" right="0.7" top="0.75" bottom="0.75" header="0.3" footer="0.3"/>
  <x:tableParts count="1">
    <x:tablePart xmlns:r="http://schemas.openxmlformats.org/officeDocument/2006/relationships" r:id="Ra35808224b544fe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6" hidden="0" customWidth="1"/>
    <x:col min="4" max="4" width="30" hidden="0" customWidth="1"/>
    <x:col min="5" max="5" width="36" hidden="0" customWidth="1"/>
    <x:col min="6" max="6" width="16" hidden="0" customWidth="1"/>
    <x:col min="7" max="7" width="42" hidden="0" customWidth="1"/>
    <x:col min="8" max="8" width="44" hidden="0" customWidth="1"/>
    <x:col min="9" max="9" width="44" hidden="0" customWidth="1"/>
    <x:col min="10" max="10" width="30" hidden="0" customWidth="1"/>
    <x:col min="11" max="11" width="46" hidden="0" customWidth="1"/>
    <x:col min="12" max="12" width="42" hidden="0" customWidth="1"/>
    <x:col min="13" max="13" width="38" hidden="0" customWidth="1"/>
    <x:col min="14" max="14" width="38" hidden="0" customWidth="1"/>
    <x:col min="15" max="15" width="42" hidden="0" customWidth="1"/>
    <x:col min="16" max="16" width="40" hidden="0" customWidth="1"/>
    <x:col min="17" max="17" width="40" hidden="0" customWidth="1"/>
    <x:col min="18" max="18" width="28" hidden="0" customWidth="1"/>
    <x:col min="19" max="19" width="40" hidden="0" customWidth="1"/>
    <x:col min="20" max="20" width="40" hidden="0" customWidth="1"/>
    <x:col min="21" max="21" width="34" hidden="0" customWidth="1"/>
    <x:col min="22" max="22" width="12" hidden="0" customWidth="1"/>
    <x:col min="23" max="23" width="24" hidden="0" customWidth="1"/>
  </x:cols>
  <x:sheetData>
    <x:row r="1" ht="34" customHeight="1">
      <x:c r="A1" s="6" t="str">
        <x:v>Step</x:v>
      </x:c>
      <x:c r="B1" s="6" t="str">
        <x:v>サブStep</x:v>
      </x:c>
      <x:c r="C1" s="6" t="str">
        <x:v>フェーズ</x:v>
      </x:c>
      <x:c r="D1" s="6" t="str">
        <x:v>対象サービス</x:v>
      </x:c>
      <x:c r="E1" s="6" t="str">
        <x:v>目的</x:v>
      </x:c>
      <x:c r="F1" s="6" t="str">
        <x:v>前提Step</x:v>
      </x:c>
      <x:c r="G1" s="6" t="str">
        <x:v>対象ディレクトリ</x:v>
      </x:c>
      <x:c r="H1" s="6" t="str">
        <x:v>対象ファイル</x:v>
      </x:c>
      <x:c r="I1" s="6" t="str">
        <x:v>使用するresource</x:v>
      </x:c>
      <x:c r="J1" s="6" t="str">
        <x:v>使用するmodule</x:v>
      </x:c>
      <x:c r="K1" s="6" t="str">
        <x:v>実装内容</x:v>
      </x:c>
      <x:c r="L1" s="6" t="str">
        <x:v>設定値・変数</x:v>
      </x:c>
      <x:c r="M1" s="6" t="str">
        <x:v>Terraformコマンド</x:v>
      </x:c>
      <x:c r="N1" s="6" t="str">
        <x:v>AWSでの確認方法</x:v>
      </x:c>
      <x:c r="O1" s="6" t="str">
        <x:v>疎通・動作確認</x:v>
      </x:c>
      <x:c r="P1" s="6" t="str">
        <x:v>成功条件</x:v>
      </x:c>
      <x:c r="Q1" s="6" t="str">
        <x:v>失敗時の確認点</x:v>
      </x:c>
      <x:c r="R1" s="6" t="str">
        <x:v>コストへの影響</x:v>
      </x:c>
      <x:c r="S1" s="6" t="str">
        <x:v>セキュリティ上の注意</x:v>
      </x:c>
      <x:c r="T1" s="6" t="str">
        <x:v>削除方法</x:v>
      </x:c>
      <x:c r="U1" s="6" t="str">
        <x:v>次のStepへの依存関係</x:v>
      </x:c>
      <x:c r="V1" s="6" t="str">
        <x:v>状態</x:v>
      </x:c>
      <x:c r="W1" s="6" t="str">
        <x:v>備考</x:v>
      </x:c>
    </x:row>
    <x:row r="2" ht="58" customHeight="1">
      <x:c r="A2" s="14" t="n">
        <x:v>0</x:v>
      </x:c>
      <x:c r="B2" s="14" t="n">
        <x:v>1</x:v>
      </x:c>
      <x:c r="C2" s="14" t="str">
        <x:v>コスト保護</x:v>
      </x:c>
      <x:c r="D2" s="14" t="str">
        <x:v>AWS Budgets</x:v>
      </x:c>
      <x:c r="E2" s="14" t="str">
        <x:v>構築開始前に予算通知を有効化</x:v>
      </x:c>
      <x:c r="F2" s="14" t="str">
        <x:v>なし</x:v>
      </x:c>
      <x:c r="G2" s="14" t="str">
        <x:v>infra/bootstrap/state-backend</x:v>
      </x:c>
      <x:c r="H2" s="14" t="str">
        <x:v>versions.tf, providers.tf, variables.tf, budget.tf, terraform.tfvars</x:v>
      </x:c>
      <x:c r="I2" s="14" t="str">
        <x:v>aws_budgets_budget</x:v>
      </x:c>
      <x:c r="J2" s="14" t="str">
        <x:v>cost-control</x:v>
      </x:c>
      <x:c r="K2" s="14" t="str">
        <x:v>対象ファイルを作成し、resourceとmoduleの責務を分ける。</x:v>
      </x:c>
      <x:c r="L2" s="14" t="str">
        <x:v>monthly_budget_usd=50、通知先メール、閾値25/50/75/100%</x:v>
      </x:c>
      <x:c r="M2" s="14" t="str"/>
      <x:c r="N2" s="14" t="str"/>
      <x:c r="O2" s="14" t="str"/>
      <x:c r="P2" s="14" t="str"/>
      <x:c r="Q2" s="14" t="str"/>
      <x:c r="R2" s="14" t="str">
        <x:v>通常0円</x:v>
      </x:c>
      <x:c r="S2" s="14" t="str">
        <x:v>請求権限と通知先を最小化</x:v>
      </x:c>
      <x:c r="T2" s="14" t="str">
        <x:v>budgetを削除してapply、または最後まで保持</x:v>
      </x:c>
      <x:c r="U2" s="14" t="str">
        <x:v>Step 1でstate backendを追加</x:v>
      </x:c>
      <x:c r="V2" s="84" t="str">
        <x:v>未着手</x:v>
      </x:c>
      <x:c r="W2" s="14" t="str">
        <x:v>対象ファイルの準備</x:v>
      </x:c>
    </x:row>
    <x:row r="3" ht="58" customHeight="1">
      <x:c r="A3" s="14" t="n">
        <x:v>0</x:v>
      </x:c>
      <x:c r="B3" s="14" t="n">
        <x:v>2</x:v>
      </x:c>
      <x:c r="C3" s="14" t="str">
        <x:v>コスト保護</x:v>
      </x:c>
      <x:c r="D3" s="14" t="str">
        <x:v>AWS Budgets</x:v>
      </x:c>
      <x:c r="E3" s="14" t="str">
        <x:v>構築開始前に予算通知を有効化</x:v>
      </x:c>
      <x:c r="F3" s="14" t="str">
        <x:v>なし</x:v>
      </x:c>
      <x:c r="G3" s="14" t="str">
        <x:v>infra/bootstrap/state-backend</x:v>
      </x:c>
      <x:c r="H3" s="14" t="str">
        <x:v>versions.tf, providers.tf, variables.tf, budget.tf, terraform.tfvars</x:v>
      </x:c>
      <x:c r="I3" s="14" t="str">
        <x:v>aws_budgets_budget</x:v>
      </x:c>
      <x:c r="J3" s="14" t="str">
        <x:v>cost-control</x:v>
      </x:c>
      <x:c r="K3" s="14" t="str">
        <x:v>非機密値だけをtfvarsまたは環境変数へ設定する。</x:v>
      </x:c>
      <x:c r="L3" s="14" t="str">
        <x:v>monthly_budget_usd=50、通知先メール、閾値25/50/75/100%</x:v>
      </x:c>
      <x:c r="M3" s="14" t="str"/>
      <x:c r="N3" s="14" t="str"/>
      <x:c r="O3" s="14" t="str"/>
      <x:c r="P3" s="14" t="str"/>
      <x:c r="Q3" s="14" t="str"/>
      <x:c r="R3" s="14" t="str">
        <x:v>通常0円</x:v>
      </x:c>
      <x:c r="S3" s="14" t="str">
        <x:v>請求権限と通知先を最小化</x:v>
      </x:c>
      <x:c r="T3" s="14" t="str">
        <x:v>budgetを削除してapply、または最後まで保持</x:v>
      </x:c>
      <x:c r="U3" s="14" t="str">
        <x:v>Step 1でstate backendを追加</x:v>
      </x:c>
      <x:c r="V3" s="84" t="str">
        <x:v>未着手</x:v>
      </x:c>
      <x:c r="W3" s="14" t="str">
        <x:v>設定値の準備</x:v>
      </x:c>
    </x:row>
    <x:row r="4" ht="58" customHeight="1">
      <x:c r="A4" s="14" t="n">
        <x:v>0</x:v>
      </x:c>
      <x:c r="B4" s="14" t="n">
        <x:v>3</x:v>
      </x:c>
      <x:c r="C4" s="14" t="str">
        <x:v>コスト保護</x:v>
      </x:c>
      <x:c r="D4" s="14" t="str">
        <x:v>AWS Budgets</x:v>
      </x:c>
      <x:c r="E4" s="14" t="str">
        <x:v>構築開始前に予算通知を有効化</x:v>
      </x:c>
      <x:c r="F4" s="14" t="str">
        <x:v>なし</x:v>
      </x:c>
      <x:c r="G4" s="14" t="str">
        <x:v>infra/bootstrap/state-backend</x:v>
      </x:c>
      <x:c r="H4" s="14" t="str">
        <x:v>versions.tf, providers.tf, variables.tf, budget.tf, terraform.tfvars</x:v>
      </x:c>
      <x:c r="I4" s="14" t="str">
        <x:v>aws_budgets_budget</x:v>
      </x:c>
      <x:c r="J4" s="14" t="str">
        <x:v>cost-control</x:v>
      </x:c>
      <x:c r="K4" s="14" t="str">
        <x:v>HCLファイルを自動整形する。</x:v>
      </x:c>
      <x:c r="L4" s="14" t="str">
        <x:v>monthly_budget_usd=50、通知先メール、閾値25/50/75/100%</x:v>
      </x:c>
      <x:c r="M4" s="14" t="str">
        <x:v>`terraform fmt -recursive`</x:v>
      </x:c>
      <x:c r="N4" s="14" t="str"/>
      <x:c r="O4" s="14" t="str"/>
      <x:c r="P4" s="14" t="str"/>
      <x:c r="Q4" s="14" t="str"/>
      <x:c r="R4" s="14" t="str">
        <x:v>通常0円</x:v>
      </x:c>
      <x:c r="S4" s="14" t="str">
        <x:v>請求権限と通知先を最小化</x:v>
      </x:c>
      <x:c r="T4" s="14" t="str">
        <x:v>budgetを削除してapply、または最後まで保持</x:v>
      </x:c>
      <x:c r="U4" s="14" t="str">
        <x:v>Step 1でstate backendを追加</x:v>
      </x:c>
      <x:c r="V4" s="84" t="str">
        <x:v>未着手</x:v>
      </x:c>
      <x:c r="W4" s="14" t="str">
        <x:v>terraform fmt</x:v>
      </x:c>
    </x:row>
    <x:row r="5" ht="58" customHeight="1">
      <x:c r="A5" s="14" t="n">
        <x:v>0</x:v>
      </x:c>
      <x:c r="B5" s="14" t="n">
        <x:v>4</x:v>
      </x:c>
      <x:c r="C5" s="14" t="str">
        <x:v>コスト保護</x:v>
      </x:c>
      <x:c r="D5" s="14" t="str">
        <x:v>AWS Budgets</x:v>
      </x:c>
      <x:c r="E5" s="14" t="str">
        <x:v>構築開始前に予算通知を有効化</x:v>
      </x:c>
      <x:c r="F5" s="14" t="str">
        <x:v>なし</x:v>
      </x:c>
      <x:c r="G5" s="14" t="str">
        <x:v>infra/bootstrap/state-backend</x:v>
      </x:c>
      <x:c r="H5" s="14" t="str">
        <x:v>versions.tf, providers.tf, variables.tf, budget.tf, terraform.tfvars</x:v>
      </x:c>
      <x:c r="I5" s="14" t="str">
        <x:v>aws_budgets_budget</x:v>
      </x:c>
      <x:c r="J5" s="14" t="str">
        <x:v>cost-control</x:v>
      </x:c>
      <x:c r="K5" s="14" t="str">
        <x:v>backend、Provider、moduleを初期化する。</x:v>
      </x:c>
      <x:c r="L5" s="14" t="str">
        <x:v>monthly_budget_usd=50、通知先メール、閾値25/50/75/100%</x:v>
      </x:c>
      <x:c r="M5" s="14" t="str">
        <x:v>初回のためlocal stateで `terraform init`。</x:v>
      </x:c>
      <x:c r="N5" s="14" t="str"/>
      <x:c r="O5" s="14" t="str"/>
      <x:c r="P5" s="14" t="str"/>
      <x:c r="Q5" s="14" t="str"/>
      <x:c r="R5" s="14" t="str">
        <x:v>通常0円</x:v>
      </x:c>
      <x:c r="S5" s="14" t="str">
        <x:v>請求権限と通知先を最小化</x:v>
      </x:c>
      <x:c r="T5" s="14" t="str">
        <x:v>budgetを削除してapply、または最後まで保持</x:v>
      </x:c>
      <x:c r="U5" s="14" t="str">
        <x:v>Step 1でstate backendを追加</x:v>
      </x:c>
      <x:c r="V5" s="84" t="str">
        <x:v>未着手</x:v>
      </x:c>
      <x:c r="W5" s="14" t="str">
        <x:v>terraform init</x:v>
      </x:c>
    </x:row>
    <x:row r="6" ht="58" customHeight="1">
      <x:c r="A6" s="14" t="n">
        <x:v>0</x:v>
      </x:c>
      <x:c r="B6" s="14" t="n">
        <x:v>5</x:v>
      </x:c>
      <x:c r="C6" s="14" t="str">
        <x:v>コスト保護</x:v>
      </x:c>
      <x:c r="D6" s="14" t="str">
        <x:v>AWS Budgets</x:v>
      </x:c>
      <x:c r="E6" s="14" t="str">
        <x:v>構築開始前に予算通知を有効化</x:v>
      </x:c>
      <x:c r="F6" s="14" t="str">
        <x:v>なし</x:v>
      </x:c>
      <x:c r="G6" s="14" t="str">
        <x:v>infra/bootstrap/state-backend</x:v>
      </x:c>
      <x:c r="H6" s="14" t="str">
        <x:v>versions.tf, providers.tf, variables.tf, budget.tf, terraform.tfvars</x:v>
      </x:c>
      <x:c r="I6" s="14" t="str">
        <x:v>aws_budgets_budget</x:v>
      </x:c>
      <x:c r="J6" s="14" t="str">
        <x:v>cost-control</x:v>
      </x:c>
      <x:c r="K6" s="14" t="str">
        <x:v>`terraform validate`</x:v>
      </x:c>
      <x:c r="L6" s="14" t="str">
        <x:v>monthly_budget_usd=50、通知先メール、閾値25/50/75/100%</x:v>
      </x:c>
      <x:c r="M6" s="14" t="str">
        <x:v>`terraform validate`</x:v>
      </x:c>
      <x:c r="N6" s="14" t="str"/>
      <x:c r="O6" s="14" t="str"/>
      <x:c r="P6" s="14" t="str"/>
      <x:c r="Q6" s="14" t="str"/>
      <x:c r="R6" s="14" t="str">
        <x:v>通常0円</x:v>
      </x:c>
      <x:c r="S6" s="14" t="str">
        <x:v>請求権限と通知先を最小化</x:v>
      </x:c>
      <x:c r="T6" s="14" t="str">
        <x:v>budgetを削除してapply、または最後まで保持</x:v>
      </x:c>
      <x:c r="U6" s="14" t="str">
        <x:v>Step 1でstate backendを追加</x:v>
      </x:c>
      <x:c r="V6" s="84" t="str">
        <x:v>未着手</x:v>
      </x:c>
      <x:c r="W6" s="14" t="str">
        <x:v>terraform validate</x:v>
      </x:c>
    </x:row>
    <x:row r="7" ht="58" customHeight="1">
      <x:c r="A7" s="14" t="n">
        <x:v>0</x:v>
      </x:c>
      <x:c r="B7" s="14" t="n">
        <x:v>6</x:v>
      </x:c>
      <x:c r="C7" s="14" t="str">
        <x:v>コスト保護</x:v>
      </x:c>
      <x:c r="D7" s="14" t="str">
        <x:v>AWS Budgets</x:v>
      </x:c>
      <x:c r="E7" s="14" t="str">
        <x:v>構築開始前に予算通知を有効化</x:v>
      </x:c>
      <x:c r="F7" s="14" t="str">
        <x:v>なし</x:v>
      </x:c>
      <x:c r="G7" s="14" t="str">
        <x:v>infra/bootstrap/state-backend</x:v>
      </x:c>
      <x:c r="H7" s="14" t="str">
        <x:v>versions.tf, providers.tf, variables.tf, budget.tf, terraform.tfvars</x:v>
      </x:c>
      <x:c r="I7" s="14" t="str">
        <x:v>aws_budgets_budget</x:v>
      </x:c>
      <x:c r="J7" s="14" t="str">
        <x:v>cost-control</x:v>
      </x:c>
      <x:c r="K7" s="14" t="str">
        <x:v>`terraform plan -out=tfplan`</x:v>
      </x:c>
      <x:c r="L7" s="14" t="str">
        <x:v>monthly_budget_usd=50、通知先メール、閾値25/50/75/100%</x:v>
      </x:c>
      <x:c r="M7" s="14" t="str">
        <x:v>`terraform plan -out=tfplan`</x:v>
      </x:c>
      <x:c r="N7" s="14" t="str"/>
      <x:c r="O7" s="14" t="str"/>
      <x:c r="P7" s="14" t="str"/>
      <x:c r="Q7" s="14" t="str"/>
      <x:c r="R7" s="14" t="str">
        <x:v>通常0円</x:v>
      </x:c>
      <x:c r="S7" s="14" t="str">
        <x:v>請求権限と通知先を最小化</x:v>
      </x:c>
      <x:c r="T7" s="14" t="str">
        <x:v>budgetを削除してapply、または最後まで保持</x:v>
      </x:c>
      <x:c r="U7" s="14" t="str">
        <x:v>Step 1でstate backendを追加</x:v>
      </x:c>
      <x:c r="V7" s="84" t="str">
        <x:v>未着手</x:v>
      </x:c>
      <x:c r="W7" s="14" t="str">
        <x:v>terraform plan</x:v>
      </x:c>
    </x:row>
    <x:row r="8" ht="58" customHeight="1">
      <x:c r="A8" s="14" t="n">
        <x:v>0</x:v>
      </x:c>
      <x:c r="B8" s="14" t="n">
        <x:v>7</x:v>
      </x:c>
      <x:c r="C8" s="14" t="str">
        <x:v>コスト保護</x:v>
      </x:c>
      <x:c r="D8" s="14" t="str">
        <x:v>AWS Budgets</x:v>
      </x:c>
      <x:c r="E8" s="14" t="str">
        <x:v>構築開始前に予算通知を有効化</x:v>
      </x:c>
      <x:c r="F8" s="14" t="str">
        <x:v>なし</x:v>
      </x:c>
      <x:c r="G8" s="14" t="str">
        <x:v>infra/bootstrap/state-backend</x:v>
      </x:c>
      <x:c r="H8" s="14" t="str">
        <x:v>versions.tf, providers.tf, variables.tf, budget.tf, terraform.tfvars</x:v>
      </x:c>
      <x:c r="I8" s="14" t="str">
        <x:v>aws_budgets_budget</x:v>
      </x:c>
      <x:c r="J8" s="14" t="str">
        <x:v>cost-control</x:v>
      </x:c>
      <x:c r="K8" s="14" t="str">
        <x:v>`terraform apply tfplan`</x:v>
      </x:c>
      <x:c r="L8" s="14" t="str">
        <x:v>monthly_budget_usd=50、通知先メール、閾値25/50/75/100%</x:v>
      </x:c>
      <x:c r="M8" s="14" t="str">
        <x:v>`terraform apply tfplan`</x:v>
      </x:c>
      <x:c r="N8" s="14" t="str"/>
      <x:c r="O8" s="14" t="str"/>
      <x:c r="P8" s="14" t="str"/>
      <x:c r="Q8" s="14" t="str"/>
      <x:c r="R8" s="14" t="str">
        <x:v>通常0円</x:v>
      </x:c>
      <x:c r="S8" s="14" t="str">
        <x:v>請求権限と通知先を最小化</x:v>
      </x:c>
      <x:c r="T8" s="14" t="str">
        <x:v>budgetを削除してapply、または最後まで保持</x:v>
      </x:c>
      <x:c r="U8" s="14" t="str">
        <x:v>Step 1でstate backendを追加</x:v>
      </x:c>
      <x:c r="V8" s="84" t="str">
        <x:v>未着手</x:v>
      </x:c>
      <x:c r="W8" s="14" t="str">
        <x:v>terraform apply</x:v>
      </x:c>
    </x:row>
    <x:row r="9" ht="58" customHeight="1">
      <x:c r="A9" s="14" t="n">
        <x:v>0</x:v>
      </x:c>
      <x:c r="B9" s="14" t="n">
        <x:v>8</x:v>
      </x:c>
      <x:c r="C9" s="14" t="str">
        <x:v>コスト保護</x:v>
      </x:c>
      <x:c r="D9" s="14" t="str">
        <x:v>AWS Budgets</x:v>
      </x:c>
      <x:c r="E9" s="14" t="str">
        <x:v>構築開始前に予算通知を有効化</x:v>
      </x:c>
      <x:c r="F9" s="14" t="str">
        <x:v>なし</x:v>
      </x:c>
      <x:c r="G9" s="14" t="str">
        <x:v>infra/bootstrap/state-backend</x:v>
      </x:c>
      <x:c r="H9" s="14" t="str">
        <x:v>versions.tf, providers.tf, variables.tf, budget.tf, terraform.tfvars</x:v>
      </x:c>
      <x:c r="I9" s="14" t="str">
        <x:v>aws_budgets_budget</x:v>
      </x:c>
      <x:c r="J9" s="14" t="str">
        <x:v>cost-control</x:v>
      </x:c>
      <x:c r="K9" s="14" t="str">
        <x:v>Billing &gt; Budgetsで予算と通知先を確認</x:v>
      </x:c>
      <x:c r="L9" s="14" t="str">
        <x:v>monthly_budget_usd=50、通知先メール、閾値25/50/75/100%</x:v>
      </x:c>
      <x:c r="M9" s="14" t="str"/>
      <x:c r="N9" s="14" t="str">
        <x:v>Billing &gt; Budgetsで予算と通知先を確認</x:v>
      </x:c>
      <x:c r="O9" s="14" t="str"/>
      <x:c r="P9" s="14" t="str"/>
      <x:c r="Q9" s="14" t="str"/>
      <x:c r="R9" s="14" t="str">
        <x:v>通常0円</x:v>
      </x:c>
      <x:c r="S9" s="14" t="str">
        <x:v>請求権限と通知先を最小化</x:v>
      </x:c>
      <x:c r="T9" s="14" t="str">
        <x:v>budgetを削除してapply、または最後まで保持</x:v>
      </x:c>
      <x:c r="U9" s="14" t="str">
        <x:v>Step 1でstate backendを追加</x:v>
      </x:c>
      <x:c r="V9" s="84" t="str">
        <x:v>未着手</x:v>
      </x:c>
      <x:c r="W9" s="14" t="str">
        <x:v>AWSリソース確認</x:v>
      </x:c>
    </x:row>
    <x:row r="10" ht="58" customHeight="1">
      <x:c r="A10" s="14" t="n">
        <x:v>0</x:v>
      </x:c>
      <x:c r="B10" s="14" t="n">
        <x:v>9</x:v>
      </x:c>
      <x:c r="C10" s="14" t="str">
        <x:v>コスト保護</x:v>
      </x:c>
      <x:c r="D10" s="14" t="str">
        <x:v>AWS Budgets</x:v>
      </x:c>
      <x:c r="E10" s="14" t="str">
        <x:v>構築開始前に予算通知を有効化</x:v>
      </x:c>
      <x:c r="F10" s="14" t="str">
        <x:v>なし</x:v>
      </x:c>
      <x:c r="G10" s="14" t="str">
        <x:v>infra/bootstrap/state-backend</x:v>
      </x:c>
      <x:c r="H10" s="14" t="str">
        <x:v>versions.tf, providers.tf, variables.tf, budget.tf, terraform.tfvars</x:v>
      </x:c>
      <x:c r="I10" s="14" t="str">
        <x:v>aws_budgets_budget</x:v>
      </x:c>
      <x:c r="J10" s="14" t="str">
        <x:v>cost-control</x:v>
      </x:c>
      <x:c r="K10" s="14" t="str">
        <x:v>閾値通知設定が有効であることを確認</x:v>
      </x:c>
      <x:c r="L10" s="14" t="str">
        <x:v>monthly_budget_usd=50、通知先メール、閾値25/50/75/100%</x:v>
      </x:c>
      <x:c r="M10" s="14" t="str"/>
      <x:c r="N10" s="14" t="str"/>
      <x:c r="O10" s="14" t="str">
        <x:v>閾値通知設定が有効であることを確認</x:v>
      </x:c>
      <x:c r="P10" s="14" t="str"/>
      <x:c r="Q10" s="14" t="str"/>
      <x:c r="R10" s="14" t="str">
        <x:v>通常0円</x:v>
      </x:c>
      <x:c r="S10" s="14" t="str">
        <x:v>請求権限と通知先を最小化</x:v>
      </x:c>
      <x:c r="T10" s="14" t="str">
        <x:v>budgetを削除してapply、または最後まで保持</x:v>
      </x:c>
      <x:c r="U10" s="14" t="str">
        <x:v>Step 1でstate backendを追加</x:v>
      </x:c>
      <x:c r="V10" s="84" t="str">
        <x:v>未着手</x:v>
      </x:c>
      <x:c r="W10" s="14" t="str">
        <x:v>疎通・動作確認</x:v>
      </x:c>
    </x:row>
    <x:row r="11" ht="58" customHeight="1">
      <x:c r="A11" s="14" t="n">
        <x:v>0</x:v>
      </x:c>
      <x:c r="B11" s="14" t="n">
        <x:v>10</x:v>
      </x:c>
      <x:c r="C11" s="14" t="str">
        <x:v>コスト保護</x:v>
      </x:c>
      <x:c r="D11" s="14" t="str">
        <x:v>AWS Budgets</x:v>
      </x:c>
      <x:c r="E11" s="14" t="str">
        <x:v>構築開始前に予算通知を有効化</x:v>
      </x:c>
      <x:c r="F11" s="14" t="str">
        <x:v>なし</x:v>
      </x:c>
      <x:c r="G11" s="14" t="str">
        <x:v>infra/bootstrap/state-backend</x:v>
      </x:c>
      <x:c r="H11" s="14" t="str">
        <x:v>versions.tf, providers.tf, variables.tf, budget.tf, terraform.tfvars</x:v>
      </x:c>
      <x:c r="I11" s="14" t="str">
        <x:v>aws_budgets_budget</x:v>
      </x:c>
      <x:c r="J11" s="14" t="str">
        <x:v>cost-control</x:v>
      </x:c>
      <x:c r="K11" s="14" t="str">
        <x:v>BudgetがActiveで通知方針が記録される</x:v>
      </x:c>
      <x:c r="L11" s="14" t="str">
        <x:v>monthly_budget_usd=50、通知先メール、閾値25/50/75/100%</x:v>
      </x:c>
      <x:c r="M11" s="14" t="str"/>
      <x:c r="N11" s="14" t="str"/>
      <x:c r="O11" s="14" t="str"/>
      <x:c r="P11" s="14" t="str">
        <x:v>BudgetがActiveで通知方針が記録される</x:v>
      </x:c>
      <x:c r="Q11" s="14" t="str"/>
      <x:c r="R11" s="14" t="str">
        <x:v>通常0円</x:v>
      </x:c>
      <x:c r="S11" s="14" t="str">
        <x:v>請求権限と通知先を最小化</x:v>
      </x:c>
      <x:c r="T11" s="14" t="str">
        <x:v>budgetを削除してapply、または最後まで保持</x:v>
      </x:c>
      <x:c r="U11" s="14" t="str">
        <x:v>Step 1でstate backendを追加</x:v>
      </x:c>
      <x:c r="V11" s="84" t="str">
        <x:v>未着手</x:v>
      </x:c>
      <x:c r="W11" s="14" t="str">
        <x:v>成功条件確認</x:v>
      </x:c>
    </x:row>
    <x:row r="12" ht="58" customHeight="1">
      <x:c r="A12" s="14" t="n">
        <x:v>0</x:v>
      </x:c>
      <x:c r="B12" s="14" t="n">
        <x:v>11</x:v>
      </x:c>
      <x:c r="C12" s="14" t="str">
        <x:v>コスト保護</x:v>
      </x:c>
      <x:c r="D12" s="14" t="str">
        <x:v>AWS Budgets</x:v>
      </x:c>
      <x:c r="E12" s="14" t="str">
        <x:v>構築開始前に予算通知を有効化</x:v>
      </x:c>
      <x:c r="F12" s="14" t="str">
        <x:v>なし</x:v>
      </x:c>
      <x:c r="G12" s="14" t="str">
        <x:v>infra/bootstrap/state-backend</x:v>
      </x:c>
      <x:c r="H12" s="14" t="str">
        <x:v>versions.tf, providers.tf, variables.tf, budget.tf, terraform.tfvars</x:v>
      </x:c>
      <x:c r="I12" s="14" t="str">
        <x:v>aws_budgets_budget</x:v>
      </x:c>
      <x:c r="J12" s="14" t="str">
        <x:v>cost-control</x:v>
      </x:c>
      <x:c r="K12" s="14" t="str">
        <x:v>請求情報アクセス、通知メール認証、通貨設定、IAM権限</x:v>
      </x:c>
      <x:c r="L12" s="14" t="str">
        <x:v>monthly_budget_usd=50、通知先メール、閾値25/50/75/100%</x:v>
      </x:c>
      <x:c r="M12" s="14" t="str"/>
      <x:c r="N12" s="14" t="str"/>
      <x:c r="O12" s="14" t="str"/>
      <x:c r="P12" s="14" t="str"/>
      <x:c r="Q12" s="14" t="str">
        <x:v>請求情報アクセス、通知メール認証、通貨設定、IAM権限</x:v>
      </x:c>
      <x:c r="R12" s="14" t="str">
        <x:v>通常0円</x:v>
      </x:c>
      <x:c r="S12" s="14" t="str">
        <x:v>請求権限と通知先を最小化</x:v>
      </x:c>
      <x:c r="T12" s="14" t="str">
        <x:v>budgetを削除してapply、または最後まで保持</x:v>
      </x:c>
      <x:c r="U12" s="14" t="str">
        <x:v>Step 1でstate backendを追加</x:v>
      </x:c>
      <x:c r="V12" s="84" t="str">
        <x:v>未着手</x:v>
      </x:c>
      <x:c r="W12" s="14" t="str">
        <x:v>失敗時確認</x:v>
      </x:c>
    </x:row>
    <x:row r="13" ht="58" customHeight="1">
      <x:c r="A13" s="14" t="n">
        <x:v>0</x:v>
      </x:c>
      <x:c r="B13" s="14" t="n">
        <x:v>12</x:v>
      </x:c>
      <x:c r="C13" s="14" t="str">
        <x:v>コスト保護</x:v>
      </x:c>
      <x:c r="D13" s="14" t="str">
        <x:v>AWS Budgets</x:v>
      </x:c>
      <x:c r="E13" s="14" t="str">
        <x:v>構築開始前に予算通知を有効化</x:v>
      </x:c>
      <x:c r="F13" s="14" t="str">
        <x:v>なし</x:v>
      </x:c>
      <x:c r="G13" s="14" t="str">
        <x:v>infra/bootstrap/state-backend</x:v>
      </x:c>
      <x:c r="H13" s="14" t="str">
        <x:v>versions.tf, providers.tf, variables.tf, budget.tf, terraform.tfvars</x:v>
      </x:c>
      <x:c r="I13" s="14" t="str">
        <x:v>aws_budgets_budget</x:v>
      </x:c>
      <x:c r="J13" s="14" t="str">
        <x:v>cost-control</x:v>
      </x:c>
      <x:c r="K13" s="14" t="str">
        <x:v>削除: budgetを削除してapply、または最後まで保持 / 次: Step 1でstate backendを追加</x:v>
      </x:c>
      <x:c r="L13" s="14" t="str">
        <x:v>monthly_budget_usd=50、通知先メール、閾値25/50/75/100%</x:v>
      </x:c>
      <x:c r="M13" s="14" t="str"/>
      <x:c r="N13" s="14" t="str"/>
      <x:c r="O13" s="14" t="str"/>
      <x:c r="P13" s="14" t="str"/>
      <x:c r="Q13" s="14" t="str"/>
      <x:c r="R13" s="14" t="str">
        <x:v>通常0円</x:v>
      </x:c>
      <x:c r="S13" s="14" t="str">
        <x:v>請求権限と通知先を最小化</x:v>
      </x:c>
      <x:c r="T13" s="14" t="str">
        <x:v>budgetを削除してapply、または最後まで保持</x:v>
      </x:c>
      <x:c r="U13" s="14" t="str">
        <x:v>Step 1でstate backendを追加</x:v>
      </x:c>
      <x:c r="V13" s="84" t="str">
        <x:v>未着手</x:v>
      </x:c>
      <x:c r="W13" s="14" t="str">
        <x:v>依存・削除確認</x:v>
      </x:c>
    </x:row>
    <x:row r="14" ht="58" customHeight="1">
      <x:c r="A14" s="14" t="n">
        <x:v>1</x:v>
      </x:c>
      <x:c r="B14" s="14" t="n">
        <x:v>1</x:v>
      </x:c>
      <x:c r="C14" s="14" t="str">
        <x:v>bootstrap</x:v>
      </x:c>
      <x:c r="D14" s="14" t="str">
        <x:v>Amazon S3（Terraform state）</x:v>
      </x:c>
      <x:c r="E14" s="14" t="str">
        <x:v>remote stateとS3 native lockingを準備</x:v>
      </x:c>
      <x:c r="F14" s="14" t="str">
        <x:v>Step 0</x:v>
      </x:c>
      <x:c r="G14" s="14" t="str">
        <x:v>infra/bootstrap/state-backend</x:v>
      </x:c>
      <x:c r="H14" s="14" t="str">
        <x:v>main.tf, variables.tf, outputs.tf, backend移行手順</x:v>
      </x:c>
      <x:c r="I14" s="14" t="str">
        <x:v>aws_s3_bucket, aws_s3_bucket_versioning, aws_s3_bucket_server_side_encryption_configuration, aws_s3_bucket_public_access_block, aws_s3_bucket_policy</x:v>
      </x:c>
      <x:c r="J14" s="14" t="str">
        <x:v>state-backend</x:v>
      </x:c>
      <x:c r="K14" s="14" t="str">
        <x:v>対象ファイルを作成し、resourceとmoduleの責務を分ける。</x:v>
      </x:c>
      <x:c r="L14" s="14" t="str">
        <x:v>state_bucket_name、aws_region、use_lockfile=true</x:v>
      </x:c>
      <x:c r="M14" s="14" t="str"/>
      <x:c r="N14" s="14" t="str"/>
      <x:c r="O14" s="14" t="str"/>
      <x:c r="P14" s="14" t="str"/>
      <x:c r="Q14" s="14" t="str"/>
      <x:c r="R14" s="14" t="str">
        <x:v>S3少量のみ</x:v>
      </x:c>
      <x:c r="S14" s="14" t="str">
        <x:v>state bucketを公開しない。prevent_destroy推奨</x:v>
      </x:c>
      <x:c r="T14" s="14" t="str">
        <x:v>原則削除しない。全環境削除後に判断</x:v>
      </x:c>
      <x:c r="U14" s="14" t="str">
        <x:v>全stackのbackend.hclで使用</x:v>
      </x:c>
      <x:c r="V14" s="84" t="str">
        <x:v>未着手</x:v>
      </x:c>
      <x:c r="W14" s="14" t="str">
        <x:v>対象ファイルの準備</x:v>
      </x:c>
    </x:row>
    <x:row r="15" ht="58" customHeight="1">
      <x:c r="A15" s="14" t="n">
        <x:v>1</x:v>
      </x:c>
      <x:c r="B15" s="14" t="n">
        <x:v>2</x:v>
      </x:c>
      <x:c r="C15" s="14" t="str">
        <x:v>bootstrap</x:v>
      </x:c>
      <x:c r="D15" s="14" t="str">
        <x:v>Amazon S3（Terraform state）</x:v>
      </x:c>
      <x:c r="E15" s="14" t="str">
        <x:v>remote stateとS3 native lockingを準備</x:v>
      </x:c>
      <x:c r="F15" s="14" t="str">
        <x:v>Step 0</x:v>
      </x:c>
      <x:c r="G15" s="14" t="str">
        <x:v>infra/bootstrap/state-backend</x:v>
      </x:c>
      <x:c r="H15" s="14" t="str">
        <x:v>main.tf, variables.tf, outputs.tf, backend移行手順</x:v>
      </x:c>
      <x:c r="I15" s="14" t="str">
        <x:v>aws_s3_bucket, aws_s3_bucket_versioning, aws_s3_bucket_server_side_encryption_configuration, aws_s3_bucket_public_access_block, aws_s3_bucket_policy</x:v>
      </x:c>
      <x:c r="J15" s="14" t="str">
        <x:v>state-backend</x:v>
      </x:c>
      <x:c r="K15" s="14" t="str">
        <x:v>非機密値だけをtfvarsまたは環境変数へ設定する。</x:v>
      </x:c>
      <x:c r="L15" s="14" t="str">
        <x:v>state_bucket_name、aws_region、use_lockfile=true</x:v>
      </x:c>
      <x:c r="M15" s="14" t="str"/>
      <x:c r="N15" s="14" t="str"/>
      <x:c r="O15" s="14" t="str"/>
      <x:c r="P15" s="14" t="str"/>
      <x:c r="Q15" s="14" t="str"/>
      <x:c r="R15" s="14" t="str">
        <x:v>S3少量のみ</x:v>
      </x:c>
      <x:c r="S15" s="14" t="str">
        <x:v>state bucketを公開しない。prevent_destroy推奨</x:v>
      </x:c>
      <x:c r="T15" s="14" t="str">
        <x:v>原則削除しない。全環境削除後に判断</x:v>
      </x:c>
      <x:c r="U15" s="14" t="str">
        <x:v>全stackのbackend.hclで使用</x:v>
      </x:c>
      <x:c r="V15" s="84" t="str">
        <x:v>未着手</x:v>
      </x:c>
      <x:c r="W15" s="14" t="str">
        <x:v>設定値の準備</x:v>
      </x:c>
    </x:row>
    <x:row r="16" ht="58" customHeight="1">
      <x:c r="A16" s="14" t="n">
        <x:v>1</x:v>
      </x:c>
      <x:c r="B16" s="14" t="n">
        <x:v>3</x:v>
      </x:c>
      <x:c r="C16" s="14" t="str">
        <x:v>bootstrap</x:v>
      </x:c>
      <x:c r="D16" s="14" t="str">
        <x:v>Amazon S3（Terraform state）</x:v>
      </x:c>
      <x:c r="E16" s="14" t="str">
        <x:v>remote stateとS3 native lockingを準備</x:v>
      </x:c>
      <x:c r="F16" s="14" t="str">
        <x:v>Step 0</x:v>
      </x:c>
      <x:c r="G16" s="14" t="str">
        <x:v>infra/bootstrap/state-backend</x:v>
      </x:c>
      <x:c r="H16" s="14" t="str">
        <x:v>main.tf, variables.tf, outputs.tf, backend移行手順</x:v>
      </x:c>
      <x:c r="I16" s="14" t="str">
        <x:v>aws_s3_bucket, aws_s3_bucket_versioning, aws_s3_bucket_server_side_encryption_configuration, aws_s3_bucket_public_access_block, aws_s3_bucket_policy</x:v>
      </x:c>
      <x:c r="J16" s="14" t="str">
        <x:v>state-backend</x:v>
      </x:c>
      <x:c r="K16" s="14" t="str">
        <x:v>HCLファイルを自動整形する。</x:v>
      </x:c>
      <x:c r="L16" s="14" t="str">
        <x:v>state_bucket_name、aws_region、use_lockfile=true</x:v>
      </x:c>
      <x:c r="M16" s="14" t="str">
        <x:v>`terraform fmt -recursive`</x:v>
      </x:c>
      <x:c r="N16" s="14" t="str"/>
      <x:c r="O16" s="14" t="str"/>
      <x:c r="P16" s="14" t="str"/>
      <x:c r="Q16" s="14" t="str"/>
      <x:c r="R16" s="14" t="str">
        <x:v>S3少量のみ</x:v>
      </x:c>
      <x:c r="S16" s="14" t="str">
        <x:v>state bucketを公開しない。prevent_destroy推奨</x:v>
      </x:c>
      <x:c r="T16" s="14" t="str">
        <x:v>原則削除しない。全環境削除後に判断</x:v>
      </x:c>
      <x:c r="U16" s="14" t="str">
        <x:v>全stackのbackend.hclで使用</x:v>
      </x:c>
      <x:c r="V16" s="84" t="str">
        <x:v>未着手</x:v>
      </x:c>
      <x:c r="W16" s="14" t="str">
        <x:v>terraform fmt</x:v>
      </x:c>
    </x:row>
    <x:row r="17" ht="58" customHeight="1">
      <x:c r="A17" s="14" t="n">
        <x:v>1</x:v>
      </x:c>
      <x:c r="B17" s="14" t="n">
        <x:v>4</x:v>
      </x:c>
      <x:c r="C17" s="14" t="str">
        <x:v>bootstrap</x:v>
      </x:c>
      <x:c r="D17" s="14" t="str">
        <x:v>Amazon S3（Terraform state）</x:v>
      </x:c>
      <x:c r="E17" s="14" t="str">
        <x:v>remote stateとS3 native lockingを準備</x:v>
      </x:c>
      <x:c r="F17" s="14" t="str">
        <x:v>Step 0</x:v>
      </x:c>
      <x:c r="G17" s="14" t="str">
        <x:v>infra/bootstrap/state-backend</x:v>
      </x:c>
      <x:c r="H17" s="14" t="str">
        <x:v>main.tf, variables.tf, outputs.tf, backend移行手順</x:v>
      </x:c>
      <x:c r="I17" s="14" t="str">
        <x:v>aws_s3_bucket, aws_s3_bucket_versioning, aws_s3_bucket_server_side_encryption_configuration, aws_s3_bucket_public_access_block, aws_s3_bucket_policy</x:v>
      </x:c>
      <x:c r="J17" s="14" t="str">
        <x:v>state-backend</x:v>
      </x:c>
      <x:c r="K17" s="14" t="str">
        <x:v>backend、Provider、moduleを初期化する。</x:v>
      </x:c>
      <x:c r="L17" s="14" t="str">
        <x:v>state_bucket_name、aws_region、use_lockfile=true</x:v>
      </x:c>
      <x:c r="M17" s="14" t="str">
        <x:v>backend移行のため `terraform init -migrate-state`。</x:v>
      </x:c>
      <x:c r="N17" s="14" t="str"/>
      <x:c r="O17" s="14" t="str"/>
      <x:c r="P17" s="14" t="str"/>
      <x:c r="Q17" s="14" t="str"/>
      <x:c r="R17" s="14" t="str">
        <x:v>S3少量のみ</x:v>
      </x:c>
      <x:c r="S17" s="14" t="str">
        <x:v>state bucketを公開しない。prevent_destroy推奨</x:v>
      </x:c>
      <x:c r="T17" s="14" t="str">
        <x:v>原則削除しない。全環境削除後に判断</x:v>
      </x:c>
      <x:c r="U17" s="14" t="str">
        <x:v>全stackのbackend.hclで使用</x:v>
      </x:c>
      <x:c r="V17" s="84" t="str">
        <x:v>未着手</x:v>
      </x:c>
      <x:c r="W17" s="14" t="str">
        <x:v>terraform init</x:v>
      </x:c>
    </x:row>
    <x:row r="18" ht="58" customHeight="1">
      <x:c r="A18" s="14" t="n">
        <x:v>1</x:v>
      </x:c>
      <x:c r="B18" s="14" t="n">
        <x:v>5</x:v>
      </x:c>
      <x:c r="C18" s="14" t="str">
        <x:v>bootstrap</x:v>
      </x:c>
      <x:c r="D18" s="14" t="str">
        <x:v>Amazon S3（Terraform state）</x:v>
      </x:c>
      <x:c r="E18" s="14" t="str">
        <x:v>remote stateとS3 native lockingを準備</x:v>
      </x:c>
      <x:c r="F18" s="14" t="str">
        <x:v>Step 0</x:v>
      </x:c>
      <x:c r="G18" s="14" t="str">
        <x:v>infra/bootstrap/state-backend</x:v>
      </x:c>
      <x:c r="H18" s="14" t="str">
        <x:v>main.tf, variables.tf, outputs.tf, backend移行手順</x:v>
      </x:c>
      <x:c r="I18" s="14" t="str">
        <x:v>aws_s3_bucket, aws_s3_bucket_versioning, aws_s3_bucket_server_side_encryption_configuration, aws_s3_bucket_public_access_block, aws_s3_bucket_policy</x:v>
      </x:c>
      <x:c r="J18" s="14" t="str">
        <x:v>state-backend</x:v>
      </x:c>
      <x:c r="K18" s="14" t="str">
        <x:v>`terraform validate`</x:v>
      </x:c>
      <x:c r="L18" s="14" t="str">
        <x:v>state_bucket_name、aws_region、use_lockfile=true</x:v>
      </x:c>
      <x:c r="M18" s="14" t="str">
        <x:v>`terraform validate`</x:v>
      </x:c>
      <x:c r="N18" s="14" t="str"/>
      <x:c r="O18" s="14" t="str"/>
      <x:c r="P18" s="14" t="str"/>
      <x:c r="Q18" s="14" t="str"/>
      <x:c r="R18" s="14" t="str">
        <x:v>S3少量のみ</x:v>
      </x:c>
      <x:c r="S18" s="14" t="str">
        <x:v>state bucketを公開しない。prevent_destroy推奨</x:v>
      </x:c>
      <x:c r="T18" s="14" t="str">
        <x:v>原則削除しない。全環境削除後に判断</x:v>
      </x:c>
      <x:c r="U18" s="14" t="str">
        <x:v>全stackのbackend.hclで使用</x:v>
      </x:c>
      <x:c r="V18" s="84" t="str">
        <x:v>未着手</x:v>
      </x:c>
      <x:c r="W18" s="14" t="str">
        <x:v>terraform validate</x:v>
      </x:c>
    </x:row>
    <x:row r="19" ht="58" customHeight="1">
      <x:c r="A19" s="14" t="n">
        <x:v>1</x:v>
      </x:c>
      <x:c r="B19" s="14" t="n">
        <x:v>6</x:v>
      </x:c>
      <x:c r="C19" s="14" t="str">
        <x:v>bootstrap</x:v>
      </x:c>
      <x:c r="D19" s="14" t="str">
        <x:v>Amazon S3（Terraform state）</x:v>
      </x:c>
      <x:c r="E19" s="14" t="str">
        <x:v>remote stateとS3 native lockingを準備</x:v>
      </x:c>
      <x:c r="F19" s="14" t="str">
        <x:v>Step 0</x:v>
      </x:c>
      <x:c r="G19" s="14" t="str">
        <x:v>infra/bootstrap/state-backend</x:v>
      </x:c>
      <x:c r="H19" s="14" t="str">
        <x:v>main.tf, variables.tf, outputs.tf, backend移行手順</x:v>
      </x:c>
      <x:c r="I19" s="14" t="str">
        <x:v>aws_s3_bucket, aws_s3_bucket_versioning, aws_s3_bucket_server_side_encryption_configuration, aws_s3_bucket_public_access_block, aws_s3_bucket_policy</x:v>
      </x:c>
      <x:c r="J19" s="14" t="str">
        <x:v>state-backend</x:v>
      </x:c>
      <x:c r="K19" s="14" t="str">
        <x:v>`terraform plan -out=tfplan`</x:v>
      </x:c>
      <x:c r="L19" s="14" t="str">
        <x:v>state_bucket_name、aws_region、use_lockfile=true</x:v>
      </x:c>
      <x:c r="M19" s="14" t="str">
        <x:v>`terraform plan -out=tfplan`</x:v>
      </x:c>
      <x:c r="N19" s="14" t="str"/>
      <x:c r="O19" s="14" t="str"/>
      <x:c r="P19" s="14" t="str"/>
      <x:c r="Q19" s="14" t="str"/>
      <x:c r="R19" s="14" t="str">
        <x:v>S3少量のみ</x:v>
      </x:c>
      <x:c r="S19" s="14" t="str">
        <x:v>state bucketを公開しない。prevent_destroy推奨</x:v>
      </x:c>
      <x:c r="T19" s="14" t="str">
        <x:v>原則削除しない。全環境削除後に判断</x:v>
      </x:c>
      <x:c r="U19" s="14" t="str">
        <x:v>全stackのbackend.hclで使用</x:v>
      </x:c>
      <x:c r="V19" s="84" t="str">
        <x:v>未着手</x:v>
      </x:c>
      <x:c r="W19" s="14" t="str">
        <x:v>terraform plan</x:v>
      </x:c>
    </x:row>
    <x:row r="20" ht="58" customHeight="1">
      <x:c r="A20" s="14" t="n">
        <x:v>1</x:v>
      </x:c>
      <x:c r="B20" s="14" t="n">
        <x:v>7</x:v>
      </x:c>
      <x:c r="C20" s="14" t="str">
        <x:v>bootstrap</x:v>
      </x:c>
      <x:c r="D20" s="14" t="str">
        <x:v>Amazon S3（Terraform state）</x:v>
      </x:c>
      <x:c r="E20" s="14" t="str">
        <x:v>remote stateとS3 native lockingを準備</x:v>
      </x:c>
      <x:c r="F20" s="14" t="str">
        <x:v>Step 0</x:v>
      </x:c>
      <x:c r="G20" s="14" t="str">
        <x:v>infra/bootstrap/state-backend</x:v>
      </x:c>
      <x:c r="H20" s="14" t="str">
        <x:v>main.tf, variables.tf, outputs.tf, backend移行手順</x:v>
      </x:c>
      <x:c r="I20" s="14" t="str">
        <x:v>aws_s3_bucket, aws_s3_bucket_versioning, aws_s3_bucket_server_side_encryption_configuration, aws_s3_bucket_public_access_block, aws_s3_bucket_policy</x:v>
      </x:c>
      <x:c r="J20" s="14" t="str">
        <x:v>state-backend</x:v>
      </x:c>
      <x:c r="K20" s="14" t="str">
        <x:v>`terraform apply tfplan`</x:v>
      </x:c>
      <x:c r="L20" s="14" t="str">
        <x:v>state_bucket_name、aws_region、use_lockfile=true</x:v>
      </x:c>
      <x:c r="M20" s="14" t="str">
        <x:v>`terraform apply tfplan`</x:v>
      </x:c>
      <x:c r="N20" s="14" t="str"/>
      <x:c r="O20" s="14" t="str"/>
      <x:c r="P20" s="14" t="str"/>
      <x:c r="Q20" s="14" t="str"/>
      <x:c r="R20" s="14" t="str">
        <x:v>S3少量のみ</x:v>
      </x:c>
      <x:c r="S20" s="14" t="str">
        <x:v>state bucketを公開しない。prevent_destroy推奨</x:v>
      </x:c>
      <x:c r="T20" s="14" t="str">
        <x:v>原則削除しない。全環境削除後に判断</x:v>
      </x:c>
      <x:c r="U20" s="14" t="str">
        <x:v>全stackのbackend.hclで使用</x:v>
      </x:c>
      <x:c r="V20" s="84" t="str">
        <x:v>未着手</x:v>
      </x:c>
      <x:c r="W20" s="14" t="str">
        <x:v>terraform apply</x:v>
      </x:c>
    </x:row>
    <x:row r="21" ht="58" customHeight="1">
      <x:c r="A21" s="14" t="n">
        <x:v>1</x:v>
      </x:c>
      <x:c r="B21" s="14" t="n">
        <x:v>8</x:v>
      </x:c>
      <x:c r="C21" s="14" t="str">
        <x:v>bootstrap</x:v>
      </x:c>
      <x:c r="D21" s="14" t="str">
        <x:v>Amazon S3（Terraform state）</x:v>
      </x:c>
      <x:c r="E21" s="14" t="str">
        <x:v>remote stateとS3 native lockingを準備</x:v>
      </x:c>
      <x:c r="F21" s="14" t="str">
        <x:v>Step 0</x:v>
      </x:c>
      <x:c r="G21" s="14" t="str">
        <x:v>infra/bootstrap/state-backend</x:v>
      </x:c>
      <x:c r="H21" s="14" t="str">
        <x:v>main.tf, variables.tf, outputs.tf, backend移行手順</x:v>
      </x:c>
      <x:c r="I21" s="14" t="str">
        <x:v>aws_s3_bucket, aws_s3_bucket_versioning, aws_s3_bucket_server_side_encryption_configuration, aws_s3_bucket_public_access_block, aws_s3_bucket_policy</x:v>
      </x:c>
      <x:c r="J21" s="14" t="str">
        <x:v>state-backend</x:v>
      </x:c>
      <x:c r="K21" s="14" t="str">
        <x:v>S3でBlock Public Access、Versioning、暗号化を確認</x:v>
      </x:c>
      <x:c r="L21" s="14" t="str">
        <x:v>state_bucket_name、aws_region、use_lockfile=true</x:v>
      </x:c>
      <x:c r="M21" s="14" t="str"/>
      <x:c r="N21" s="14" t="str">
        <x:v>S3でBlock Public Access、Versioning、暗号化を確認</x:v>
      </x:c>
      <x:c r="O21" s="14" t="str"/>
      <x:c r="P21" s="14" t="str"/>
      <x:c r="Q21" s="14" t="str"/>
      <x:c r="R21" s="14" t="str">
        <x:v>S3少量のみ</x:v>
      </x:c>
      <x:c r="S21" s="14" t="str">
        <x:v>state bucketを公開しない。prevent_destroy推奨</x:v>
      </x:c>
      <x:c r="T21" s="14" t="str">
        <x:v>原則削除しない。全環境削除後に判断</x:v>
      </x:c>
      <x:c r="U21" s="14" t="str">
        <x:v>全stackのbackend.hclで使用</x:v>
      </x:c>
      <x:c r="V21" s="84" t="str">
        <x:v>未着手</x:v>
      </x:c>
      <x:c r="W21" s="14" t="str">
        <x:v>AWSリソース確認</x:v>
      </x:c>
    </x:row>
    <x:row r="22" ht="58" customHeight="1">
      <x:c r="A22" s="14" t="n">
        <x:v>1</x:v>
      </x:c>
      <x:c r="B22" s="14" t="n">
        <x:v>9</x:v>
      </x:c>
      <x:c r="C22" s="14" t="str">
        <x:v>bootstrap</x:v>
      </x:c>
      <x:c r="D22" s="14" t="str">
        <x:v>Amazon S3（Terraform state）</x:v>
      </x:c>
      <x:c r="E22" s="14" t="str">
        <x:v>remote stateとS3 native lockingを準備</x:v>
      </x:c>
      <x:c r="F22" s="14" t="str">
        <x:v>Step 0</x:v>
      </x:c>
      <x:c r="G22" s="14" t="str">
        <x:v>infra/bootstrap/state-backend</x:v>
      </x:c>
      <x:c r="H22" s="14" t="str">
        <x:v>main.tf, variables.tf, outputs.tf, backend移行手順</x:v>
      </x:c>
      <x:c r="I22" s="14" t="str">
        <x:v>aws_s3_bucket, aws_s3_bucket_versioning, aws_s3_bucket_server_side_encryption_configuration, aws_s3_bucket_public_access_block, aws_s3_bucket_policy</x:v>
      </x:c>
      <x:c r="J22" s="14" t="str">
        <x:v>state-backend</x:v>
      </x:c>
      <x:c r="K22" s="14" t="str">
        <x:v>別ターミナルから同時planしlock挙動を確認</x:v>
      </x:c>
      <x:c r="L22" s="14" t="str">
        <x:v>state_bucket_name、aws_region、use_lockfile=true</x:v>
      </x:c>
      <x:c r="M22" s="14" t="str"/>
      <x:c r="N22" s="14" t="str"/>
      <x:c r="O22" s="14" t="str">
        <x:v>別ターミナルから同時planしlock挙動を確認</x:v>
      </x:c>
      <x:c r="P22" s="14" t="str"/>
      <x:c r="Q22" s="14" t="str"/>
      <x:c r="R22" s="14" t="str">
        <x:v>S3少量のみ</x:v>
      </x:c>
      <x:c r="S22" s="14" t="str">
        <x:v>state bucketを公開しない。prevent_destroy推奨</x:v>
      </x:c>
      <x:c r="T22" s="14" t="str">
        <x:v>原則削除しない。全環境削除後に判断</x:v>
      </x:c>
      <x:c r="U22" s="14" t="str">
        <x:v>全stackのbackend.hclで使用</x:v>
      </x:c>
      <x:c r="V22" s="84" t="str">
        <x:v>未着手</x:v>
      </x:c>
      <x:c r="W22" s="14" t="str">
        <x:v>疎通・動作確認</x:v>
      </x:c>
    </x:row>
    <x:row r="23" ht="58" customHeight="1">
      <x:c r="A23" s="14" t="n">
        <x:v>1</x:v>
      </x:c>
      <x:c r="B23" s="14" t="n">
        <x:v>10</x:v>
      </x:c>
      <x:c r="C23" s="14" t="str">
        <x:v>bootstrap</x:v>
      </x:c>
      <x:c r="D23" s="14" t="str">
        <x:v>Amazon S3（Terraform state）</x:v>
      </x:c>
      <x:c r="E23" s="14" t="str">
        <x:v>remote stateとS3 native lockingを準備</x:v>
      </x:c>
      <x:c r="F23" s="14" t="str">
        <x:v>Step 0</x:v>
      </x:c>
      <x:c r="G23" s="14" t="str">
        <x:v>infra/bootstrap/state-backend</x:v>
      </x:c>
      <x:c r="H23" s="14" t="str">
        <x:v>main.tf, variables.tf, outputs.tf, backend移行手順</x:v>
      </x:c>
      <x:c r="I23" s="14" t="str">
        <x:v>aws_s3_bucket, aws_s3_bucket_versioning, aws_s3_bucket_server_side_encryption_configuration, aws_s3_bucket_public_access_block, aws_s3_bucket_policy</x:v>
      </x:c>
      <x:c r="J23" s="14" t="str">
        <x:v>state-backend</x:v>
      </x:c>
      <x:c r="K23" s="14" t="str">
        <x:v>stateがS3へ移行され、.tflockにより排他される</x:v>
      </x:c>
      <x:c r="L23" s="14" t="str">
        <x:v>state_bucket_name、aws_region、use_lockfile=true</x:v>
      </x:c>
      <x:c r="M23" s="14" t="str"/>
      <x:c r="N23" s="14" t="str"/>
      <x:c r="O23" s="14" t="str"/>
      <x:c r="P23" s="14" t="str">
        <x:v>stateがS3へ移行され、.tflockにより排他される</x:v>
      </x:c>
      <x:c r="Q23" s="14" t="str"/>
      <x:c r="R23" s="14" t="str">
        <x:v>S3少量のみ</x:v>
      </x:c>
      <x:c r="S23" s="14" t="str">
        <x:v>state bucketを公開しない。prevent_destroy推奨</x:v>
      </x:c>
      <x:c r="T23" s="14" t="str">
        <x:v>原則削除しない。全環境削除後に判断</x:v>
      </x:c>
      <x:c r="U23" s="14" t="str">
        <x:v>全stackのbackend.hclで使用</x:v>
      </x:c>
      <x:c r="V23" s="84" t="str">
        <x:v>未着手</x:v>
      </x:c>
      <x:c r="W23" s="14" t="str">
        <x:v>成功条件確認</x:v>
      </x:c>
    </x:row>
    <x:row r="24" ht="58" customHeight="1">
      <x:c r="A24" s="14" t="n">
        <x:v>1</x:v>
      </x:c>
      <x:c r="B24" s="14" t="n">
        <x:v>11</x:v>
      </x:c>
      <x:c r="C24" s="14" t="str">
        <x:v>bootstrap</x:v>
      </x:c>
      <x:c r="D24" s="14" t="str">
        <x:v>Amazon S3（Terraform state）</x:v>
      </x:c>
      <x:c r="E24" s="14" t="str">
        <x:v>remote stateとS3 native lockingを準備</x:v>
      </x:c>
      <x:c r="F24" s="14" t="str">
        <x:v>Step 0</x:v>
      </x:c>
      <x:c r="G24" s="14" t="str">
        <x:v>infra/bootstrap/state-backend</x:v>
      </x:c>
      <x:c r="H24" s="14" t="str">
        <x:v>main.tf, variables.tf, outputs.tf, backend移行手順</x:v>
      </x:c>
      <x:c r="I24" s="14" t="str">
        <x:v>aws_s3_bucket, aws_s3_bucket_versioning, aws_s3_bucket_server_side_encryption_configuration, aws_s3_bucket_public_access_block, aws_s3_bucket_policy</x:v>
      </x:c>
      <x:c r="J24" s="14" t="str">
        <x:v>state-backend</x:v>
      </x:c>
      <x:c r="K24" s="14" t="str">
        <x:v>bucket名重複、policy、backend key、local state backup</x:v>
      </x:c>
      <x:c r="L24" s="14" t="str">
        <x:v>state_bucket_name、aws_region、use_lockfile=true</x:v>
      </x:c>
      <x:c r="M24" s="14" t="str"/>
      <x:c r="N24" s="14" t="str"/>
      <x:c r="O24" s="14" t="str"/>
      <x:c r="P24" s="14" t="str"/>
      <x:c r="Q24" s="14" t="str">
        <x:v>bucket名重複、policy、backend key、local state backup</x:v>
      </x:c>
      <x:c r="R24" s="14" t="str">
        <x:v>S3少量のみ</x:v>
      </x:c>
      <x:c r="S24" s="14" t="str">
        <x:v>state bucketを公開しない。prevent_destroy推奨</x:v>
      </x:c>
      <x:c r="T24" s="14" t="str">
        <x:v>原則削除しない。全環境削除後に判断</x:v>
      </x:c>
      <x:c r="U24" s="14" t="str">
        <x:v>全stackのbackend.hclで使用</x:v>
      </x:c>
      <x:c r="V24" s="84" t="str">
        <x:v>未着手</x:v>
      </x:c>
      <x:c r="W24" s="14" t="str">
        <x:v>失敗時確認</x:v>
      </x:c>
    </x:row>
    <x:row r="25" ht="58" customHeight="1">
      <x:c r="A25" s="14" t="n">
        <x:v>1</x:v>
      </x:c>
      <x:c r="B25" s="14" t="n">
        <x:v>12</x:v>
      </x:c>
      <x:c r="C25" s="14" t="str">
        <x:v>bootstrap</x:v>
      </x:c>
      <x:c r="D25" s="14" t="str">
        <x:v>Amazon S3（Terraform state）</x:v>
      </x:c>
      <x:c r="E25" s="14" t="str">
        <x:v>remote stateとS3 native lockingを準備</x:v>
      </x:c>
      <x:c r="F25" s="14" t="str">
        <x:v>Step 0</x:v>
      </x:c>
      <x:c r="G25" s="14" t="str">
        <x:v>infra/bootstrap/state-backend</x:v>
      </x:c>
      <x:c r="H25" s="14" t="str">
        <x:v>main.tf, variables.tf, outputs.tf, backend移行手順</x:v>
      </x:c>
      <x:c r="I25" s="14" t="str">
        <x:v>aws_s3_bucket, aws_s3_bucket_versioning, aws_s3_bucket_server_side_encryption_configuration, aws_s3_bucket_public_access_block, aws_s3_bucket_policy</x:v>
      </x:c>
      <x:c r="J25" s="14" t="str">
        <x:v>state-backend</x:v>
      </x:c>
      <x:c r="K25" s="14" t="str">
        <x:v>削除: 原則削除しない。全環境削除後に判断 / 次: 全stackのbackend.hclで使用</x:v>
      </x:c>
      <x:c r="L25" s="14" t="str">
        <x:v>state_bucket_name、aws_region、use_lockfile=true</x:v>
      </x:c>
      <x:c r="M25" s="14" t="str"/>
      <x:c r="N25" s="14" t="str"/>
      <x:c r="O25" s="14" t="str"/>
      <x:c r="P25" s="14" t="str"/>
      <x:c r="Q25" s="14" t="str"/>
      <x:c r="R25" s="14" t="str">
        <x:v>S3少量のみ</x:v>
      </x:c>
      <x:c r="S25" s="14" t="str">
        <x:v>state bucketを公開しない。prevent_destroy推奨</x:v>
      </x:c>
      <x:c r="T25" s="14" t="str">
        <x:v>原則削除しない。全環境削除後に判断</x:v>
      </x:c>
      <x:c r="U25" s="14" t="str">
        <x:v>全stackのbackend.hclで使用</x:v>
      </x:c>
      <x:c r="V25" s="84" t="str">
        <x:v>未着手</x:v>
      </x:c>
      <x:c r="W25" s="14" t="str">
        <x:v>依存・削除確認</x:v>
      </x:c>
    </x:row>
    <x:row r="26" ht="58" customHeight="1">
      <x:c r="A26" s="14" t="n">
        <x:v>2</x:v>
      </x:c>
      <x:c r="B26" s="14" t="n">
        <x:v>1</x:v>
      </x:c>
      <x:c r="C26" s="14" t="str">
        <x:v>基礎設定</x:v>
      </x:c>
      <x:c r="D26" s="14" t="str">
        <x:v>Terraform Provider / IAM</x:v>
      </x:c>
      <x:c r="E26" s="14" t="str">
        <x:v>対象Account・Region・タグを固定</x:v>
      </x:c>
      <x:c r="F26" s="14" t="str">
        <x:v>Step 1</x:v>
      </x:c>
      <x:c r="G26" s="14" t="str">
        <x:v>infra/environments/dev/00-foundation</x:v>
      </x:c>
      <x:c r="H26" s="14" t="str">
        <x:v>versions.tf, backend.hcl, providers.tf, variables.tf, locals.tf, outputs.tf</x:v>
      </x:c>
      <x:c r="I26" s="14" t="str">
        <x:v>provider aws, data.aws_caller_identity, data.aws_region</x:v>
      </x:c>
      <x:c r="J26" s="14" t="str">
        <x:v>なし</x:v>
      </x:c>
      <x:c r="K26" s="14" t="str">
        <x:v>対象ファイルを作成し、resourceとmoduleの責務を分ける。</x:v>
      </x:c>
      <x:c r="L26" s="14" t="str">
        <x:v>aws_region=ap-northeast-1、project_name、environment=dev、owner</x:v>
      </x:c>
      <x:c r="M26" s="14" t="str"/>
      <x:c r="N26" s="14" t="str"/>
      <x:c r="O26" s="14" t="str"/>
      <x:c r="P26" s="14" t="str"/>
      <x:c r="Q26" s="14" t="str"/>
      <x:c r="R26" s="14" t="str">
        <x:v>原則0円</x:v>
      </x:c>
      <x:c r="S26" s="14" t="str">
        <x:v>長期アクセスキーを使わずOIDC/一時認証</x:v>
      </x:c>
      <x:c r="T26" s="14" t="str">
        <x:v>設定のみ。resourceなし</x:v>
      </x:c>
      <x:c r="U26" s="14" t="str">
        <x:v>Step 3のVPC</x:v>
      </x:c>
      <x:c r="V26" s="84" t="str">
        <x:v>未着手</x:v>
      </x:c>
      <x:c r="W26" s="14" t="str">
        <x:v>対象ファイルの準備</x:v>
      </x:c>
    </x:row>
    <x:row r="27" ht="58" customHeight="1">
      <x:c r="A27" s="14" t="n">
        <x:v>2</x:v>
      </x:c>
      <x:c r="B27" s="14" t="n">
        <x:v>2</x:v>
      </x:c>
      <x:c r="C27" s="14" t="str">
        <x:v>基礎設定</x:v>
      </x:c>
      <x:c r="D27" s="14" t="str">
        <x:v>Terraform Provider / IAM</x:v>
      </x:c>
      <x:c r="E27" s="14" t="str">
        <x:v>対象Account・Region・タグを固定</x:v>
      </x:c>
      <x:c r="F27" s="14" t="str">
        <x:v>Step 1</x:v>
      </x:c>
      <x:c r="G27" s="14" t="str">
        <x:v>infra/environments/dev/00-foundation</x:v>
      </x:c>
      <x:c r="H27" s="14" t="str">
        <x:v>versions.tf, backend.hcl, providers.tf, variables.tf, locals.tf, outputs.tf</x:v>
      </x:c>
      <x:c r="I27" s="14" t="str">
        <x:v>provider aws, data.aws_caller_identity, data.aws_region</x:v>
      </x:c>
      <x:c r="J27" s="14" t="str">
        <x:v>なし</x:v>
      </x:c>
      <x:c r="K27" s="14" t="str">
        <x:v>非機密値だけをtfvarsまたは環境変数へ設定する。</x:v>
      </x:c>
      <x:c r="L27" s="14" t="str">
        <x:v>aws_region=ap-northeast-1、project_name、environment=dev、owner</x:v>
      </x:c>
      <x:c r="M27" s="14" t="str"/>
      <x:c r="N27" s="14" t="str"/>
      <x:c r="O27" s="14" t="str"/>
      <x:c r="P27" s="14" t="str"/>
      <x:c r="Q27" s="14" t="str"/>
      <x:c r="R27" s="14" t="str">
        <x:v>原則0円</x:v>
      </x:c>
      <x:c r="S27" s="14" t="str">
        <x:v>長期アクセスキーを使わずOIDC/一時認証</x:v>
      </x:c>
      <x:c r="T27" s="14" t="str">
        <x:v>設定のみ。resourceなし</x:v>
      </x:c>
      <x:c r="U27" s="14" t="str">
        <x:v>Step 3のVPC</x:v>
      </x:c>
      <x:c r="V27" s="84" t="str">
        <x:v>未着手</x:v>
      </x:c>
      <x:c r="W27" s="14" t="str">
        <x:v>設定値の準備</x:v>
      </x:c>
    </x:row>
    <x:row r="28" ht="58" customHeight="1">
      <x:c r="A28" s="14" t="n">
        <x:v>2</x:v>
      </x:c>
      <x:c r="B28" s="14" t="n">
        <x:v>3</x:v>
      </x:c>
      <x:c r="C28" s="14" t="str">
        <x:v>基礎設定</x:v>
      </x:c>
      <x:c r="D28" s="14" t="str">
        <x:v>Terraform Provider / IAM</x:v>
      </x:c>
      <x:c r="E28" s="14" t="str">
        <x:v>対象Account・Region・タグを固定</x:v>
      </x:c>
      <x:c r="F28" s="14" t="str">
        <x:v>Step 1</x:v>
      </x:c>
      <x:c r="G28" s="14" t="str">
        <x:v>infra/environments/dev/00-foundation</x:v>
      </x:c>
      <x:c r="H28" s="14" t="str">
        <x:v>versions.tf, backend.hcl, providers.tf, variables.tf, locals.tf, outputs.tf</x:v>
      </x:c>
      <x:c r="I28" s="14" t="str">
        <x:v>provider aws, data.aws_caller_identity, data.aws_region</x:v>
      </x:c>
      <x:c r="J28" s="14" t="str">
        <x:v>なし</x:v>
      </x:c>
      <x:c r="K28" s="14" t="str">
        <x:v>HCLファイルを自動整形する。</x:v>
      </x:c>
      <x:c r="L28" s="14" t="str">
        <x:v>aws_region=ap-northeast-1、project_name、environment=dev、owner</x:v>
      </x:c>
      <x:c r="M28" s="14" t="str">
        <x:v>`terraform fmt -recursive`</x:v>
      </x:c>
      <x:c r="N28" s="14" t="str"/>
      <x:c r="O28" s="14" t="str"/>
      <x:c r="P28" s="14" t="str"/>
      <x:c r="Q28" s="14" t="str"/>
      <x:c r="R28" s="14" t="str">
        <x:v>原則0円</x:v>
      </x:c>
      <x:c r="S28" s="14" t="str">
        <x:v>長期アクセスキーを使わずOIDC/一時認証</x:v>
      </x:c>
      <x:c r="T28" s="14" t="str">
        <x:v>設定のみ。resourceなし</x:v>
      </x:c>
      <x:c r="U28" s="14" t="str">
        <x:v>Step 3のVPC</x:v>
      </x:c>
      <x:c r="V28" s="84" t="str">
        <x:v>未着手</x:v>
      </x:c>
      <x:c r="W28" s="14" t="str">
        <x:v>terraform fmt</x:v>
      </x:c>
    </x:row>
    <x:row r="29" ht="58" customHeight="1">
      <x:c r="A29" s="14" t="n">
        <x:v>2</x:v>
      </x:c>
      <x:c r="B29" s="14" t="n">
        <x:v>4</x:v>
      </x:c>
      <x:c r="C29" s="14" t="str">
        <x:v>基礎設定</x:v>
      </x:c>
      <x:c r="D29" s="14" t="str">
        <x:v>Terraform Provider / IAM</x:v>
      </x:c>
      <x:c r="E29" s="14" t="str">
        <x:v>対象Account・Region・タグを固定</x:v>
      </x:c>
      <x:c r="F29" s="14" t="str">
        <x:v>Step 1</x:v>
      </x:c>
      <x:c r="G29" s="14" t="str">
        <x:v>infra/environments/dev/00-foundation</x:v>
      </x:c>
      <x:c r="H29" s="14" t="str">
        <x:v>versions.tf, backend.hcl, providers.tf, variables.tf, locals.tf, outputs.tf</x:v>
      </x:c>
      <x:c r="I29" s="14" t="str">
        <x:v>provider aws, data.aws_caller_identity, data.aws_region</x:v>
      </x:c>
      <x:c r="J29" s="14" t="str">
        <x:v>なし</x:v>
      </x:c>
      <x:c r="K29" s="14" t="str">
        <x:v>backend、Provider、moduleを初期化する。</x:v>
      </x:c>
      <x:c r="L29" s="14" t="str">
        <x:v>aws_region=ap-northeast-1、project_name、environment=dev、owner</x:v>
      </x:c>
      <x:c r="M29" s="14" t="str">
        <x:v>新root stackのため `terraform init -backend-config=backend.hcl`。</x:v>
      </x:c>
      <x:c r="N29" s="14" t="str"/>
      <x:c r="O29" s="14" t="str"/>
      <x:c r="P29" s="14" t="str"/>
      <x:c r="Q29" s="14" t="str"/>
      <x:c r="R29" s="14" t="str">
        <x:v>原則0円</x:v>
      </x:c>
      <x:c r="S29" s="14" t="str">
        <x:v>長期アクセスキーを使わずOIDC/一時認証</x:v>
      </x:c>
      <x:c r="T29" s="14" t="str">
        <x:v>設定のみ。resourceなし</x:v>
      </x:c>
      <x:c r="U29" s="14" t="str">
        <x:v>Step 3のVPC</x:v>
      </x:c>
      <x:c r="V29" s="84" t="str">
        <x:v>未着手</x:v>
      </x:c>
      <x:c r="W29" s="14" t="str">
        <x:v>terraform init</x:v>
      </x:c>
    </x:row>
    <x:row r="30" ht="58" customHeight="1">
      <x:c r="A30" s="14" t="n">
        <x:v>2</x:v>
      </x:c>
      <x:c r="B30" s="14" t="n">
        <x:v>5</x:v>
      </x:c>
      <x:c r="C30" s="14" t="str">
        <x:v>基礎設定</x:v>
      </x:c>
      <x:c r="D30" s="14" t="str">
        <x:v>Terraform Provider / IAM</x:v>
      </x:c>
      <x:c r="E30" s="14" t="str">
        <x:v>対象Account・Region・タグを固定</x:v>
      </x:c>
      <x:c r="F30" s="14" t="str">
        <x:v>Step 1</x:v>
      </x:c>
      <x:c r="G30" s="14" t="str">
        <x:v>infra/environments/dev/00-foundation</x:v>
      </x:c>
      <x:c r="H30" s="14" t="str">
        <x:v>versions.tf, backend.hcl, providers.tf, variables.tf, locals.tf, outputs.tf</x:v>
      </x:c>
      <x:c r="I30" s="14" t="str">
        <x:v>provider aws, data.aws_caller_identity, data.aws_region</x:v>
      </x:c>
      <x:c r="J30" s="14" t="str">
        <x:v>なし</x:v>
      </x:c>
      <x:c r="K30" s="14" t="str">
        <x:v>`terraform validate`</x:v>
      </x:c>
      <x:c r="L30" s="14" t="str">
        <x:v>aws_region=ap-northeast-1、project_name、environment=dev、owner</x:v>
      </x:c>
      <x:c r="M30" s="14" t="str">
        <x:v>`terraform validate`</x:v>
      </x:c>
      <x:c r="N30" s="14" t="str"/>
      <x:c r="O30" s="14" t="str"/>
      <x:c r="P30" s="14" t="str"/>
      <x:c r="Q30" s="14" t="str"/>
      <x:c r="R30" s="14" t="str">
        <x:v>原則0円</x:v>
      </x:c>
      <x:c r="S30" s="14" t="str">
        <x:v>長期アクセスキーを使わずOIDC/一時認証</x:v>
      </x:c>
      <x:c r="T30" s="14" t="str">
        <x:v>設定のみ。resourceなし</x:v>
      </x:c>
      <x:c r="U30" s="14" t="str">
        <x:v>Step 3のVPC</x:v>
      </x:c>
      <x:c r="V30" s="84" t="str">
        <x:v>未着手</x:v>
      </x:c>
      <x:c r="W30" s="14" t="str">
        <x:v>terraform validate</x:v>
      </x:c>
    </x:row>
    <x:row r="31" ht="58" customHeight="1">
      <x:c r="A31" s="14" t="n">
        <x:v>2</x:v>
      </x:c>
      <x:c r="B31" s="14" t="n">
        <x:v>6</x:v>
      </x:c>
      <x:c r="C31" s="14" t="str">
        <x:v>基礎設定</x:v>
      </x:c>
      <x:c r="D31" s="14" t="str">
        <x:v>Terraform Provider / IAM</x:v>
      </x:c>
      <x:c r="E31" s="14" t="str">
        <x:v>対象Account・Region・タグを固定</x:v>
      </x:c>
      <x:c r="F31" s="14" t="str">
        <x:v>Step 1</x:v>
      </x:c>
      <x:c r="G31" s="14" t="str">
        <x:v>infra/environments/dev/00-foundation</x:v>
      </x:c>
      <x:c r="H31" s="14" t="str">
        <x:v>versions.tf, backend.hcl, providers.tf, variables.tf, locals.tf, outputs.tf</x:v>
      </x:c>
      <x:c r="I31" s="14" t="str">
        <x:v>provider aws, data.aws_caller_identity, data.aws_region</x:v>
      </x:c>
      <x:c r="J31" s="14" t="str">
        <x:v>なし</x:v>
      </x:c>
      <x:c r="K31" s="14" t="str">
        <x:v>`terraform plan -out=tfplan`</x:v>
      </x:c>
      <x:c r="L31" s="14" t="str">
        <x:v>aws_region=ap-northeast-1、project_name、environment=dev、owner</x:v>
      </x:c>
      <x:c r="M31" s="14" t="str">
        <x:v>`terraform plan -out=tfplan`</x:v>
      </x:c>
      <x:c r="N31" s="14" t="str"/>
      <x:c r="O31" s="14" t="str"/>
      <x:c r="P31" s="14" t="str"/>
      <x:c r="Q31" s="14" t="str"/>
      <x:c r="R31" s="14" t="str">
        <x:v>原則0円</x:v>
      </x:c>
      <x:c r="S31" s="14" t="str">
        <x:v>長期アクセスキーを使わずOIDC/一時認証</x:v>
      </x:c>
      <x:c r="T31" s="14" t="str">
        <x:v>設定のみ。resourceなし</x:v>
      </x:c>
      <x:c r="U31" s="14" t="str">
        <x:v>Step 3のVPC</x:v>
      </x:c>
      <x:c r="V31" s="84" t="str">
        <x:v>未着手</x:v>
      </x:c>
      <x:c r="W31" s="14" t="str">
        <x:v>terraform plan</x:v>
      </x:c>
    </x:row>
    <x:row r="32" ht="58" customHeight="1">
      <x:c r="A32" s="14" t="n">
        <x:v>2</x:v>
      </x:c>
      <x:c r="B32" s="14" t="n">
        <x:v>7</x:v>
      </x:c>
      <x:c r="C32" s="14" t="str">
        <x:v>基礎設定</x:v>
      </x:c>
      <x:c r="D32" s="14" t="str">
        <x:v>Terraform Provider / IAM</x:v>
      </x:c>
      <x:c r="E32" s="14" t="str">
        <x:v>対象Account・Region・タグを固定</x:v>
      </x:c>
      <x:c r="F32" s="14" t="str">
        <x:v>Step 1</x:v>
      </x:c>
      <x:c r="G32" s="14" t="str">
        <x:v>infra/environments/dev/00-foundation</x:v>
      </x:c>
      <x:c r="H32" s="14" t="str">
        <x:v>versions.tf, backend.hcl, providers.tf, variables.tf, locals.tf, outputs.tf</x:v>
      </x:c>
      <x:c r="I32" s="14" t="str">
        <x:v>provider aws, data.aws_caller_identity, data.aws_region</x:v>
      </x:c>
      <x:c r="J32" s="14" t="str">
        <x:v>なし</x:v>
      </x:c>
      <x:c r="K32" s="14" t="str">
        <x:v>`terraform apply tfplan`</x:v>
      </x:c>
      <x:c r="L32" s="14" t="str">
        <x:v>aws_region=ap-northeast-1、project_name、environment=dev、owner</x:v>
      </x:c>
      <x:c r="M32" s="14" t="str">
        <x:v>`terraform apply tfplan`</x:v>
      </x:c>
      <x:c r="N32" s="14" t="str"/>
      <x:c r="O32" s="14" t="str"/>
      <x:c r="P32" s="14" t="str"/>
      <x:c r="Q32" s="14" t="str"/>
      <x:c r="R32" s="14" t="str">
        <x:v>原則0円</x:v>
      </x:c>
      <x:c r="S32" s="14" t="str">
        <x:v>長期アクセスキーを使わずOIDC/一時認証</x:v>
      </x:c>
      <x:c r="T32" s="14" t="str">
        <x:v>設定のみ。resourceなし</x:v>
      </x:c>
      <x:c r="U32" s="14" t="str">
        <x:v>Step 3のVPC</x:v>
      </x:c>
      <x:c r="V32" s="84" t="str">
        <x:v>未着手</x:v>
      </x:c>
      <x:c r="W32" s="14" t="str">
        <x:v>terraform apply</x:v>
      </x:c>
    </x:row>
    <x:row r="33" ht="58" customHeight="1">
      <x:c r="A33" s="14" t="n">
        <x:v>2</x:v>
      </x:c>
      <x:c r="B33" s="14" t="n">
        <x:v>8</x:v>
      </x:c>
      <x:c r="C33" s="14" t="str">
        <x:v>基礎設定</x:v>
      </x:c>
      <x:c r="D33" s="14" t="str">
        <x:v>Terraform Provider / IAM</x:v>
      </x:c>
      <x:c r="E33" s="14" t="str">
        <x:v>対象Account・Region・タグを固定</x:v>
      </x:c>
      <x:c r="F33" s="14" t="str">
        <x:v>Step 1</x:v>
      </x:c>
      <x:c r="G33" s="14" t="str">
        <x:v>infra/environments/dev/00-foundation</x:v>
      </x:c>
      <x:c r="H33" s="14" t="str">
        <x:v>versions.tf, backend.hcl, providers.tf, variables.tf, locals.tf, outputs.tf</x:v>
      </x:c>
      <x:c r="I33" s="14" t="str">
        <x:v>provider aws, data.aws_caller_identity, data.aws_region</x:v>
      </x:c>
      <x:c r="J33" s="14" t="str">
        <x:v>なし</x:v>
      </x:c>
      <x:c r="K33" s="14" t="str">
        <x:v>`aws sts get-caller-identity` とplanのAccountを比較</x:v>
      </x:c>
      <x:c r="L33" s="14" t="str">
        <x:v>aws_region=ap-northeast-1、project_name、environment=dev、owner</x:v>
      </x:c>
      <x:c r="M33" s="14" t="str"/>
      <x:c r="N33" s="14" t="str">
        <x:v>`aws sts get-caller-identity` とplanのAccountを比較</x:v>
      </x:c>
      <x:c r="O33" s="14" t="str"/>
      <x:c r="P33" s="14" t="str"/>
      <x:c r="Q33" s="14" t="str"/>
      <x:c r="R33" s="14" t="str">
        <x:v>原則0円</x:v>
      </x:c>
      <x:c r="S33" s="14" t="str">
        <x:v>長期アクセスキーを使わずOIDC/一時認証</x:v>
      </x:c>
      <x:c r="T33" s="14" t="str">
        <x:v>設定のみ。resourceなし</x:v>
      </x:c>
      <x:c r="U33" s="14" t="str">
        <x:v>Step 3のVPC</x:v>
      </x:c>
      <x:c r="V33" s="84" t="str">
        <x:v>未着手</x:v>
      </x:c>
      <x:c r="W33" s="14" t="str">
        <x:v>AWSリソース確認</x:v>
      </x:c>
    </x:row>
    <x:row r="34" ht="58" customHeight="1">
      <x:c r="A34" s="14" t="n">
        <x:v>2</x:v>
      </x:c>
      <x:c r="B34" s="14" t="n">
        <x:v>9</x:v>
      </x:c>
      <x:c r="C34" s="14" t="str">
        <x:v>基礎設定</x:v>
      </x:c>
      <x:c r="D34" s="14" t="str">
        <x:v>Terraform Provider / IAM</x:v>
      </x:c>
      <x:c r="E34" s="14" t="str">
        <x:v>対象Account・Region・タグを固定</x:v>
      </x:c>
      <x:c r="F34" s="14" t="str">
        <x:v>Step 1</x:v>
      </x:c>
      <x:c r="G34" s="14" t="str">
        <x:v>infra/environments/dev/00-foundation</x:v>
      </x:c>
      <x:c r="H34" s="14" t="str">
        <x:v>versions.tf, backend.hcl, providers.tf, variables.tf, locals.tf, outputs.tf</x:v>
      </x:c>
      <x:c r="I34" s="14" t="str">
        <x:v>provider aws, data.aws_caller_identity, data.aws_region</x:v>
      </x:c>
      <x:c r="J34" s="14" t="str">
        <x:v>なし</x:v>
      </x:c>
      <x:c r="K34" s="14" t="str">
        <x:v>data source outputのAccount/Regionを確認</x:v>
      </x:c>
      <x:c r="L34" s="14" t="str">
        <x:v>aws_region=ap-northeast-1、project_name、environment=dev、owner</x:v>
      </x:c>
      <x:c r="M34" s="14" t="str"/>
      <x:c r="N34" s="14" t="str"/>
      <x:c r="O34" s="14" t="str">
        <x:v>data source outputのAccount/Regionを確認</x:v>
      </x:c>
      <x:c r="P34" s="14" t="str"/>
      <x:c r="Q34" s="14" t="str"/>
      <x:c r="R34" s="14" t="str">
        <x:v>原則0円</x:v>
      </x:c>
      <x:c r="S34" s="14" t="str">
        <x:v>長期アクセスキーを使わずOIDC/一時認証</x:v>
      </x:c>
      <x:c r="T34" s="14" t="str">
        <x:v>設定のみ。resourceなし</x:v>
      </x:c>
      <x:c r="U34" s="14" t="str">
        <x:v>Step 3のVPC</x:v>
      </x:c>
      <x:c r="V34" s="84" t="str">
        <x:v>未着手</x:v>
      </x:c>
      <x:c r="W34" s="14" t="str">
        <x:v>疎通・動作確認</x:v>
      </x:c>
    </x:row>
    <x:row r="35" ht="58" customHeight="1">
      <x:c r="A35" s="14" t="n">
        <x:v>2</x:v>
      </x:c>
      <x:c r="B35" s="14" t="n">
        <x:v>10</x:v>
      </x:c>
      <x:c r="C35" s="14" t="str">
        <x:v>基礎設定</x:v>
      </x:c>
      <x:c r="D35" s="14" t="str">
        <x:v>Terraform Provider / IAM</x:v>
      </x:c>
      <x:c r="E35" s="14" t="str">
        <x:v>対象Account・Region・タグを固定</x:v>
      </x:c>
      <x:c r="F35" s="14" t="str">
        <x:v>Step 1</x:v>
      </x:c>
      <x:c r="G35" s="14" t="str">
        <x:v>infra/environments/dev/00-foundation</x:v>
      </x:c>
      <x:c r="H35" s="14" t="str">
        <x:v>versions.tf, backend.hcl, providers.tf, variables.tf, locals.tf, outputs.tf</x:v>
      </x:c>
      <x:c r="I35" s="14" t="str">
        <x:v>provider aws, data.aws_caller_identity, data.aws_region</x:v>
      </x:c>
      <x:c r="J35" s="14" t="str">
        <x:v>なし</x:v>
      </x:c>
      <x:c r="K35" s="14" t="str">
        <x:v>誤Account・誤Regionがなく、共通タグがplanに表示</x:v>
      </x:c>
      <x:c r="L35" s="14" t="str">
        <x:v>aws_region=ap-northeast-1、project_name、environment=dev、owner</x:v>
      </x:c>
      <x:c r="M35" s="14" t="str"/>
      <x:c r="N35" s="14" t="str"/>
      <x:c r="O35" s="14" t="str"/>
      <x:c r="P35" s="14" t="str">
        <x:v>誤Account・誤Regionがなく、共通タグがplanに表示</x:v>
      </x:c>
      <x:c r="Q35" s="14" t="str"/>
      <x:c r="R35" s="14" t="str">
        <x:v>原則0円</x:v>
      </x:c>
      <x:c r="S35" s="14" t="str">
        <x:v>長期アクセスキーを使わずOIDC/一時認証</x:v>
      </x:c>
      <x:c r="T35" s="14" t="str">
        <x:v>設定のみ。resourceなし</x:v>
      </x:c>
      <x:c r="U35" s="14" t="str">
        <x:v>Step 3のVPC</x:v>
      </x:c>
      <x:c r="V35" s="84" t="str">
        <x:v>未着手</x:v>
      </x:c>
      <x:c r="W35" s="14" t="str">
        <x:v>成功条件確認</x:v>
      </x:c>
    </x:row>
    <x:row r="36" ht="58" customHeight="1">
      <x:c r="A36" s="14" t="n">
        <x:v>2</x:v>
      </x:c>
      <x:c r="B36" s="14" t="n">
        <x:v>11</x:v>
      </x:c>
      <x:c r="C36" s="14" t="str">
        <x:v>基礎設定</x:v>
      </x:c>
      <x:c r="D36" s="14" t="str">
        <x:v>Terraform Provider / IAM</x:v>
      </x:c>
      <x:c r="E36" s="14" t="str">
        <x:v>対象Account・Region・タグを固定</x:v>
      </x:c>
      <x:c r="F36" s="14" t="str">
        <x:v>Step 1</x:v>
      </x:c>
      <x:c r="G36" s="14" t="str">
        <x:v>infra/environments/dev/00-foundation</x:v>
      </x:c>
      <x:c r="H36" s="14" t="str">
        <x:v>versions.tf, backend.hcl, providers.tf, variables.tf, locals.tf, outputs.tf</x:v>
      </x:c>
      <x:c r="I36" s="14" t="str">
        <x:v>provider aws, data.aws_caller_identity, data.aws_region</x:v>
      </x:c>
      <x:c r="J36" s="14" t="str">
        <x:v>なし</x:v>
      </x:c>
      <x:c r="K36" s="14" t="str">
        <x:v>AWS_PROFILE、OIDC Role、backend key、Provider alias</x:v>
      </x:c>
      <x:c r="L36" s="14" t="str">
        <x:v>aws_region=ap-northeast-1、project_name、environment=dev、owner</x:v>
      </x:c>
      <x:c r="M36" s="14" t="str"/>
      <x:c r="N36" s="14" t="str"/>
      <x:c r="O36" s="14" t="str"/>
      <x:c r="P36" s="14" t="str"/>
      <x:c r="Q36" s="14" t="str">
        <x:v>AWS_PROFILE、OIDC Role、backend key、Provider alias</x:v>
      </x:c>
      <x:c r="R36" s="14" t="str">
        <x:v>原則0円</x:v>
      </x:c>
      <x:c r="S36" s="14" t="str">
        <x:v>長期アクセスキーを使わずOIDC/一時認証</x:v>
      </x:c>
      <x:c r="T36" s="14" t="str">
        <x:v>設定のみ。resourceなし</x:v>
      </x:c>
      <x:c r="U36" s="14" t="str">
        <x:v>Step 3のVPC</x:v>
      </x:c>
      <x:c r="V36" s="84" t="str">
        <x:v>未着手</x:v>
      </x:c>
      <x:c r="W36" s="14" t="str">
        <x:v>失敗時確認</x:v>
      </x:c>
    </x:row>
    <x:row r="37" ht="58" customHeight="1">
      <x:c r="A37" s="14" t="n">
        <x:v>2</x:v>
      </x:c>
      <x:c r="B37" s="14" t="n">
        <x:v>12</x:v>
      </x:c>
      <x:c r="C37" s="14" t="str">
        <x:v>基礎設定</x:v>
      </x:c>
      <x:c r="D37" s="14" t="str">
        <x:v>Terraform Provider / IAM</x:v>
      </x:c>
      <x:c r="E37" s="14" t="str">
        <x:v>対象Account・Region・タグを固定</x:v>
      </x:c>
      <x:c r="F37" s="14" t="str">
        <x:v>Step 1</x:v>
      </x:c>
      <x:c r="G37" s="14" t="str">
        <x:v>infra/environments/dev/00-foundation</x:v>
      </x:c>
      <x:c r="H37" s="14" t="str">
        <x:v>versions.tf, backend.hcl, providers.tf, variables.tf, locals.tf, outputs.tf</x:v>
      </x:c>
      <x:c r="I37" s="14" t="str">
        <x:v>provider aws, data.aws_caller_identity, data.aws_region</x:v>
      </x:c>
      <x:c r="J37" s="14" t="str">
        <x:v>なし</x:v>
      </x:c>
      <x:c r="K37" s="14" t="str">
        <x:v>削除: 設定のみ。resourceなし / 次: Step 3のVPC</x:v>
      </x:c>
      <x:c r="L37" s="14" t="str">
        <x:v>aws_region=ap-northeast-1、project_name、environment=dev、owner</x:v>
      </x:c>
      <x:c r="M37" s="14" t="str"/>
      <x:c r="N37" s="14" t="str"/>
      <x:c r="O37" s="14" t="str"/>
      <x:c r="P37" s="14" t="str"/>
      <x:c r="Q37" s="14" t="str"/>
      <x:c r="R37" s="14" t="str">
        <x:v>原則0円</x:v>
      </x:c>
      <x:c r="S37" s="14" t="str">
        <x:v>長期アクセスキーを使わずOIDC/一時認証</x:v>
      </x:c>
      <x:c r="T37" s="14" t="str">
        <x:v>設定のみ。resourceなし</x:v>
      </x:c>
      <x:c r="U37" s="14" t="str">
        <x:v>Step 3のVPC</x:v>
      </x:c>
      <x:c r="V37" s="84" t="str">
        <x:v>未着手</x:v>
      </x:c>
      <x:c r="W37" s="14" t="str">
        <x:v>依存・削除確認</x:v>
      </x:c>
    </x:row>
    <x:row r="38" ht="58" customHeight="1">
      <x:c r="A38" s="14" t="n">
        <x:v>3</x:v>
      </x:c>
      <x:c r="B38" s="14" t="n">
        <x:v>1</x:v>
      </x:c>
      <x:c r="C38" s="14" t="str">
        <x:v>ネットワーク</x:v>
      </x:c>
      <x:c r="D38" s="14" t="str">
        <x:v>Amazon VPC / S3 Gateway VPC Endpoint</x:v>
      </x:c>
      <x:c r="E38" s="14" t="str">
        <x:v>RDSとLambda用の閉域ネットワークを作成</x:v>
      </x:c>
      <x:c r="F38" s="14" t="str">
        <x:v>Step 2</x:v>
      </x:c>
      <x:c r="G38" s="14" t="str">
        <x:v>infra/environments/dev/00-foundation</x:v>
      </x:c>
      <x:c r="H38" s="14" t="str">
        <x:v>vpc.tf, variables.tf, outputs.tf</x:v>
      </x:c>
      <x:c r="I38" s="14" t="str">
        <x:v>aws_vpc, aws_subnet, aws_route_table, aws_route_table_association, aws_security_group, aws_vpc_endpoint</x:v>
      </x:c>
      <x:c r="J38" s="14" t="str">
        <x:v>network</x:v>
      </x:c>
      <x:c r="K38" s="14" t="str">
        <x:v>対象ファイルを作成し、resourceとmoduleの責務を分ける。</x:v>
      </x:c>
      <x:c r="L38" s="14" t="str">
        <x:v>vpc_cidr、private_subnet_cidrs、availability_zones</x:v>
      </x:c>
      <x:c r="M38" s="14" t="str"/>
      <x:c r="N38" s="14" t="str"/>
      <x:c r="O38" s="14" t="str"/>
      <x:c r="P38" s="14" t="str"/>
      <x:c r="Q38" s="14" t="str"/>
      <x:c r="R38" s="14" t="str">
        <x:v>VPC基本0円</x:v>
      </x:c>
      <x:c r="S38" s="14" t="str">
        <x:v>NATなし、SGは相互参照で最小化</x:v>
      </x:c>
      <x:c r="T38" s="14" t="str">
        <x:v>RDS/Lambda ENI削除後にdestroy</x:v>
      </x:c>
      <x:c r="U38" s="14" t="str">
        <x:v>Step 4-6、10、11、14</x:v>
      </x:c>
      <x:c r="V38" s="84" t="str">
        <x:v>未着手</x:v>
      </x:c>
      <x:c r="W38" s="14" t="str">
        <x:v>対象ファイルの準備</x:v>
      </x:c>
    </x:row>
    <x:row r="39" ht="58" customHeight="1">
      <x:c r="A39" s="14" t="n">
        <x:v>3</x:v>
      </x:c>
      <x:c r="B39" s="14" t="n">
        <x:v>2</x:v>
      </x:c>
      <x:c r="C39" s="14" t="str">
        <x:v>ネットワーク</x:v>
      </x:c>
      <x:c r="D39" s="14" t="str">
        <x:v>Amazon VPC / S3 Gateway VPC Endpoint</x:v>
      </x:c>
      <x:c r="E39" s="14" t="str">
        <x:v>RDSとLambda用の閉域ネットワークを作成</x:v>
      </x:c>
      <x:c r="F39" s="14" t="str">
        <x:v>Step 2</x:v>
      </x:c>
      <x:c r="G39" s="14" t="str">
        <x:v>infra/environments/dev/00-foundation</x:v>
      </x:c>
      <x:c r="H39" s="14" t="str">
        <x:v>vpc.tf, variables.tf, outputs.tf</x:v>
      </x:c>
      <x:c r="I39" s="14" t="str">
        <x:v>aws_vpc, aws_subnet, aws_route_table, aws_route_table_association, aws_security_group, aws_vpc_endpoint</x:v>
      </x:c>
      <x:c r="J39" s="14" t="str">
        <x:v>network</x:v>
      </x:c>
      <x:c r="K39" s="14" t="str">
        <x:v>非機密値だけをtfvarsまたは環境変数へ設定する。</x:v>
      </x:c>
      <x:c r="L39" s="14" t="str">
        <x:v>vpc_cidr、private_subnet_cidrs、availability_zones</x:v>
      </x:c>
      <x:c r="M39" s="14" t="str"/>
      <x:c r="N39" s="14" t="str"/>
      <x:c r="O39" s="14" t="str"/>
      <x:c r="P39" s="14" t="str"/>
      <x:c r="Q39" s="14" t="str"/>
      <x:c r="R39" s="14" t="str">
        <x:v>VPC基本0円</x:v>
      </x:c>
      <x:c r="S39" s="14" t="str">
        <x:v>NATなし、SGは相互参照で最小化</x:v>
      </x:c>
      <x:c r="T39" s="14" t="str">
        <x:v>RDS/Lambda ENI削除後にdestroy</x:v>
      </x:c>
      <x:c r="U39" s="14" t="str">
        <x:v>Step 4-6、10、11、14</x:v>
      </x:c>
      <x:c r="V39" s="84" t="str">
        <x:v>未着手</x:v>
      </x:c>
      <x:c r="W39" s="14" t="str">
        <x:v>設定値の準備</x:v>
      </x:c>
    </x:row>
    <x:row r="40" ht="58" customHeight="1">
      <x:c r="A40" s="14" t="n">
        <x:v>3</x:v>
      </x:c>
      <x:c r="B40" s="14" t="n">
        <x:v>3</x:v>
      </x:c>
      <x:c r="C40" s="14" t="str">
        <x:v>ネットワーク</x:v>
      </x:c>
      <x:c r="D40" s="14" t="str">
        <x:v>Amazon VPC / S3 Gateway VPC Endpoint</x:v>
      </x:c>
      <x:c r="E40" s="14" t="str">
        <x:v>RDSとLambda用の閉域ネットワークを作成</x:v>
      </x:c>
      <x:c r="F40" s="14" t="str">
        <x:v>Step 2</x:v>
      </x:c>
      <x:c r="G40" s="14" t="str">
        <x:v>infra/environments/dev/00-foundation</x:v>
      </x:c>
      <x:c r="H40" s="14" t="str">
        <x:v>vpc.tf, variables.tf, outputs.tf</x:v>
      </x:c>
      <x:c r="I40" s="14" t="str">
        <x:v>aws_vpc, aws_subnet, aws_route_table, aws_route_table_association, aws_security_group, aws_vpc_endpoint</x:v>
      </x:c>
      <x:c r="J40" s="14" t="str">
        <x:v>network</x:v>
      </x:c>
      <x:c r="K40" s="14" t="str">
        <x:v>HCLファイルを自動整形する。</x:v>
      </x:c>
      <x:c r="L40" s="14" t="str">
        <x:v>vpc_cidr、private_subnet_cidrs、availability_zones</x:v>
      </x:c>
      <x:c r="M40" s="14" t="str">
        <x:v>`terraform fmt -recursive`</x:v>
      </x:c>
      <x:c r="N40" s="14" t="str"/>
      <x:c r="O40" s="14" t="str"/>
      <x:c r="P40" s="14" t="str"/>
      <x:c r="Q40" s="14" t="str"/>
      <x:c r="R40" s="14" t="str">
        <x:v>VPC基本0円</x:v>
      </x:c>
      <x:c r="S40" s="14" t="str">
        <x:v>NATなし、SGは相互参照で最小化</x:v>
      </x:c>
      <x:c r="T40" s="14" t="str">
        <x:v>RDS/Lambda ENI削除後にdestroy</x:v>
      </x:c>
      <x:c r="U40" s="14" t="str">
        <x:v>Step 4-6、10、11、14</x:v>
      </x:c>
      <x:c r="V40" s="84" t="str">
        <x:v>未着手</x:v>
      </x:c>
      <x:c r="W40" s="14" t="str">
        <x:v>terraform fmt</x:v>
      </x:c>
    </x:row>
    <x:row r="41" ht="58" customHeight="1">
      <x:c r="A41" s="14" t="n">
        <x:v>3</x:v>
      </x:c>
      <x:c r="B41" s="14" t="n">
        <x:v>4</x:v>
      </x:c>
      <x:c r="C41" s="14" t="str">
        <x:v>ネットワーク</x:v>
      </x:c>
      <x:c r="D41" s="14" t="str">
        <x:v>Amazon VPC / S3 Gateway VPC Endpoint</x:v>
      </x:c>
      <x:c r="E41" s="14" t="str">
        <x:v>RDSとLambda用の閉域ネットワークを作成</x:v>
      </x:c>
      <x:c r="F41" s="14" t="str">
        <x:v>Step 2</x:v>
      </x:c>
      <x:c r="G41" s="14" t="str">
        <x:v>infra/environments/dev/00-foundation</x:v>
      </x:c>
      <x:c r="H41" s="14" t="str">
        <x:v>vpc.tf, variables.tf, outputs.tf</x:v>
      </x:c>
      <x:c r="I41" s="14" t="str">
        <x:v>aws_vpc, aws_subnet, aws_route_table, aws_route_table_association, aws_security_group, aws_vpc_endpoint</x:v>
      </x:c>
      <x:c r="J41" s="14" t="str">
        <x:v>network</x:v>
      </x:c>
      <x:c r="K41" s="14" t="str">
        <x:v>backend、Provider、moduleを初期化する。</x:v>
      </x:c>
      <x:c r="L41" s="14" t="str">
        <x:v>vpc_cidr、private_subnet_cidrs、availability_zones</x:v>
      </x:c>
      <x:c r="M41" s="14" t="str">
        <x:v>同一stackのため通常不要。</x:v>
      </x:c>
      <x:c r="N41" s="14" t="str"/>
      <x:c r="O41" s="14" t="str"/>
      <x:c r="P41" s="14" t="str"/>
      <x:c r="Q41" s="14" t="str"/>
      <x:c r="R41" s="14" t="str">
        <x:v>VPC基本0円</x:v>
      </x:c>
      <x:c r="S41" s="14" t="str">
        <x:v>NATなし、SGは相互参照で最小化</x:v>
      </x:c>
      <x:c r="T41" s="14" t="str">
        <x:v>RDS/Lambda ENI削除後にdestroy</x:v>
      </x:c>
      <x:c r="U41" s="14" t="str">
        <x:v>Step 4-6、10、11、14</x:v>
      </x:c>
      <x:c r="V41" s="84" t="str">
        <x:v>未着手</x:v>
      </x:c>
      <x:c r="W41" s="14" t="str">
        <x:v>terraform init</x:v>
      </x:c>
    </x:row>
    <x:row r="42" ht="58" customHeight="1">
      <x:c r="A42" s="14" t="n">
        <x:v>3</x:v>
      </x:c>
      <x:c r="B42" s="14" t="n">
        <x:v>5</x:v>
      </x:c>
      <x:c r="C42" s="14" t="str">
        <x:v>ネットワーク</x:v>
      </x:c>
      <x:c r="D42" s="14" t="str">
        <x:v>Amazon VPC / S3 Gateway VPC Endpoint</x:v>
      </x:c>
      <x:c r="E42" s="14" t="str">
        <x:v>RDSとLambda用の閉域ネットワークを作成</x:v>
      </x:c>
      <x:c r="F42" s="14" t="str">
        <x:v>Step 2</x:v>
      </x:c>
      <x:c r="G42" s="14" t="str">
        <x:v>infra/environments/dev/00-foundation</x:v>
      </x:c>
      <x:c r="H42" s="14" t="str">
        <x:v>vpc.tf, variables.tf, outputs.tf</x:v>
      </x:c>
      <x:c r="I42" s="14" t="str">
        <x:v>aws_vpc, aws_subnet, aws_route_table, aws_route_table_association, aws_security_group, aws_vpc_endpoint</x:v>
      </x:c>
      <x:c r="J42" s="14" t="str">
        <x:v>network</x:v>
      </x:c>
      <x:c r="K42" s="14" t="str">
        <x:v>`terraform validate`</x:v>
      </x:c>
      <x:c r="L42" s="14" t="str">
        <x:v>vpc_cidr、private_subnet_cidrs、availability_zones</x:v>
      </x:c>
      <x:c r="M42" s="14" t="str">
        <x:v>`terraform validate`</x:v>
      </x:c>
      <x:c r="N42" s="14" t="str"/>
      <x:c r="O42" s="14" t="str"/>
      <x:c r="P42" s="14" t="str"/>
      <x:c r="Q42" s="14" t="str"/>
      <x:c r="R42" s="14" t="str">
        <x:v>VPC基本0円</x:v>
      </x:c>
      <x:c r="S42" s="14" t="str">
        <x:v>NATなし、SGは相互参照で最小化</x:v>
      </x:c>
      <x:c r="T42" s="14" t="str">
        <x:v>RDS/Lambda ENI削除後にdestroy</x:v>
      </x:c>
      <x:c r="U42" s="14" t="str">
        <x:v>Step 4-6、10、11、14</x:v>
      </x:c>
      <x:c r="V42" s="84" t="str">
        <x:v>未着手</x:v>
      </x:c>
      <x:c r="W42" s="14" t="str">
        <x:v>terraform validate</x:v>
      </x:c>
    </x:row>
    <x:row r="43" ht="58" customHeight="1">
      <x:c r="A43" s="14" t="n">
        <x:v>3</x:v>
      </x:c>
      <x:c r="B43" s="14" t="n">
        <x:v>6</x:v>
      </x:c>
      <x:c r="C43" s="14" t="str">
        <x:v>ネットワーク</x:v>
      </x:c>
      <x:c r="D43" s="14" t="str">
        <x:v>Amazon VPC / S3 Gateway VPC Endpoint</x:v>
      </x:c>
      <x:c r="E43" s="14" t="str">
        <x:v>RDSとLambda用の閉域ネットワークを作成</x:v>
      </x:c>
      <x:c r="F43" s="14" t="str">
        <x:v>Step 2</x:v>
      </x:c>
      <x:c r="G43" s="14" t="str">
        <x:v>infra/environments/dev/00-foundation</x:v>
      </x:c>
      <x:c r="H43" s="14" t="str">
        <x:v>vpc.tf, variables.tf, outputs.tf</x:v>
      </x:c>
      <x:c r="I43" s="14" t="str">
        <x:v>aws_vpc, aws_subnet, aws_route_table, aws_route_table_association, aws_security_group, aws_vpc_endpoint</x:v>
      </x:c>
      <x:c r="J43" s="14" t="str">
        <x:v>network</x:v>
      </x:c>
      <x:c r="K43" s="14" t="str">
        <x:v>`terraform plan -out=tfplan`</x:v>
      </x:c>
      <x:c r="L43" s="14" t="str">
        <x:v>vpc_cidr、private_subnet_cidrs、availability_zones</x:v>
      </x:c>
      <x:c r="M43" s="14" t="str">
        <x:v>`terraform plan -out=tfplan`</x:v>
      </x:c>
      <x:c r="N43" s="14" t="str"/>
      <x:c r="O43" s="14" t="str"/>
      <x:c r="P43" s="14" t="str"/>
      <x:c r="Q43" s="14" t="str"/>
      <x:c r="R43" s="14" t="str">
        <x:v>VPC基本0円</x:v>
      </x:c>
      <x:c r="S43" s="14" t="str">
        <x:v>NATなし、SGは相互参照で最小化</x:v>
      </x:c>
      <x:c r="T43" s="14" t="str">
        <x:v>RDS/Lambda ENI削除後にdestroy</x:v>
      </x:c>
      <x:c r="U43" s="14" t="str">
        <x:v>Step 4-6、10、11、14</x:v>
      </x:c>
      <x:c r="V43" s="84" t="str">
        <x:v>未着手</x:v>
      </x:c>
      <x:c r="W43" s="14" t="str">
        <x:v>terraform plan</x:v>
      </x:c>
    </x:row>
    <x:row r="44" ht="58" customHeight="1">
      <x:c r="A44" s="14" t="n">
        <x:v>3</x:v>
      </x:c>
      <x:c r="B44" s="14" t="n">
        <x:v>7</x:v>
      </x:c>
      <x:c r="C44" s="14" t="str">
        <x:v>ネットワーク</x:v>
      </x:c>
      <x:c r="D44" s="14" t="str">
        <x:v>Amazon VPC / S3 Gateway VPC Endpoint</x:v>
      </x:c>
      <x:c r="E44" s="14" t="str">
        <x:v>RDSとLambda用の閉域ネットワークを作成</x:v>
      </x:c>
      <x:c r="F44" s="14" t="str">
        <x:v>Step 2</x:v>
      </x:c>
      <x:c r="G44" s="14" t="str">
        <x:v>infra/environments/dev/00-foundation</x:v>
      </x:c>
      <x:c r="H44" s="14" t="str">
        <x:v>vpc.tf, variables.tf, outputs.tf</x:v>
      </x:c>
      <x:c r="I44" s="14" t="str">
        <x:v>aws_vpc, aws_subnet, aws_route_table, aws_route_table_association, aws_security_group, aws_vpc_endpoint</x:v>
      </x:c>
      <x:c r="J44" s="14" t="str">
        <x:v>network</x:v>
      </x:c>
      <x:c r="K44" s="14" t="str">
        <x:v>`terraform apply tfplan`</x:v>
      </x:c>
      <x:c r="L44" s="14" t="str">
        <x:v>vpc_cidr、private_subnet_cidrs、availability_zones</x:v>
      </x:c>
      <x:c r="M44" s="14" t="str">
        <x:v>`terraform apply tfplan`</x:v>
      </x:c>
      <x:c r="N44" s="14" t="str"/>
      <x:c r="O44" s="14" t="str"/>
      <x:c r="P44" s="14" t="str"/>
      <x:c r="Q44" s="14" t="str"/>
      <x:c r="R44" s="14" t="str">
        <x:v>VPC基本0円</x:v>
      </x:c>
      <x:c r="S44" s="14" t="str">
        <x:v>NATなし、SGは相互参照で最小化</x:v>
      </x:c>
      <x:c r="T44" s="14" t="str">
        <x:v>RDS/Lambda ENI削除後にdestroy</x:v>
      </x:c>
      <x:c r="U44" s="14" t="str">
        <x:v>Step 4-6、10、11、14</x:v>
      </x:c>
      <x:c r="V44" s="84" t="str">
        <x:v>未着手</x:v>
      </x:c>
      <x:c r="W44" s="14" t="str">
        <x:v>terraform apply</x:v>
      </x:c>
    </x:row>
    <x:row r="45" ht="58" customHeight="1">
      <x:c r="A45" s="14" t="n">
        <x:v>3</x:v>
      </x:c>
      <x:c r="B45" s="14" t="n">
        <x:v>8</x:v>
      </x:c>
      <x:c r="C45" s="14" t="str">
        <x:v>ネットワーク</x:v>
      </x:c>
      <x:c r="D45" s="14" t="str">
        <x:v>Amazon VPC / S3 Gateway VPC Endpoint</x:v>
      </x:c>
      <x:c r="E45" s="14" t="str">
        <x:v>RDSとLambda用の閉域ネットワークを作成</x:v>
      </x:c>
      <x:c r="F45" s="14" t="str">
        <x:v>Step 2</x:v>
      </x:c>
      <x:c r="G45" s="14" t="str">
        <x:v>infra/environments/dev/00-foundation</x:v>
      </x:c>
      <x:c r="H45" s="14" t="str">
        <x:v>vpc.tf, variables.tf, outputs.tf</x:v>
      </x:c>
      <x:c r="I45" s="14" t="str">
        <x:v>aws_vpc, aws_subnet, aws_route_table, aws_route_table_association, aws_security_group, aws_vpc_endpoint</x:v>
      </x:c>
      <x:c r="J45" s="14" t="str">
        <x:v>network</x:v>
      </x:c>
      <x:c r="K45" s="14" t="str">
        <x:v>VPC、Private Subnet、Route Table、Endpointを確認</x:v>
      </x:c>
      <x:c r="L45" s="14" t="str">
        <x:v>vpc_cidr、private_subnet_cidrs、availability_zones</x:v>
      </x:c>
      <x:c r="M45" s="14" t="str"/>
      <x:c r="N45" s="14" t="str">
        <x:v>VPC、Private Subnet、Route Table、Endpointを確認</x:v>
      </x:c>
      <x:c r="O45" s="14" t="str"/>
      <x:c r="P45" s="14" t="str"/>
      <x:c r="Q45" s="14" t="str"/>
      <x:c r="R45" s="14" t="str">
        <x:v>VPC基本0円</x:v>
      </x:c>
      <x:c r="S45" s="14" t="str">
        <x:v>NATなし、SGは相互参照で最小化</x:v>
      </x:c>
      <x:c r="T45" s="14" t="str">
        <x:v>RDS/Lambda ENI削除後にdestroy</x:v>
      </x:c>
      <x:c r="U45" s="14" t="str">
        <x:v>Step 4-6、10、11、14</x:v>
      </x:c>
      <x:c r="V45" s="84" t="str">
        <x:v>未着手</x:v>
      </x:c>
      <x:c r="W45" s="14" t="str">
        <x:v>AWSリソース確認</x:v>
      </x:c>
    </x:row>
    <x:row r="46" ht="58" customHeight="1">
      <x:c r="A46" s="14" t="n">
        <x:v>3</x:v>
      </x:c>
      <x:c r="B46" s="14" t="n">
        <x:v>9</x:v>
      </x:c>
      <x:c r="C46" s="14" t="str">
        <x:v>ネットワーク</x:v>
      </x:c>
      <x:c r="D46" s="14" t="str">
        <x:v>Amazon VPC / S3 Gateway VPC Endpoint</x:v>
      </x:c>
      <x:c r="E46" s="14" t="str">
        <x:v>RDSとLambda用の閉域ネットワークを作成</x:v>
      </x:c>
      <x:c r="F46" s="14" t="str">
        <x:v>Step 2</x:v>
      </x:c>
      <x:c r="G46" s="14" t="str">
        <x:v>infra/environments/dev/00-foundation</x:v>
      </x:c>
      <x:c r="H46" s="14" t="str">
        <x:v>vpc.tf, variables.tf, outputs.tf</x:v>
      </x:c>
      <x:c r="I46" s="14" t="str">
        <x:v>aws_vpc, aws_subnet, aws_route_table, aws_route_table_association, aws_security_group, aws_vpc_endpoint</x:v>
      </x:c>
      <x:c r="J46" s="14" t="str">
        <x:v>network</x:v>
      </x:c>
      <x:c r="K46" s="14" t="str">
        <x:v>Private SubnetにIGW/NAT向けdefault routeがないことを確認</x:v>
      </x:c>
      <x:c r="L46" s="14" t="str">
        <x:v>vpc_cidr、private_subnet_cidrs、availability_zones</x:v>
      </x:c>
      <x:c r="M46" s="14" t="str"/>
      <x:c r="N46" s="14" t="str"/>
      <x:c r="O46" s="14" t="str">
        <x:v>Private SubnetにIGW/NAT向けdefault routeがないことを確認</x:v>
      </x:c>
      <x:c r="P46" s="14" t="str"/>
      <x:c r="Q46" s="14" t="str"/>
      <x:c r="R46" s="14" t="str">
        <x:v>VPC基本0円</x:v>
      </x:c>
      <x:c r="S46" s="14" t="str">
        <x:v>NATなし、SGは相互参照で最小化</x:v>
      </x:c>
      <x:c r="T46" s="14" t="str">
        <x:v>RDS/Lambda ENI削除後にdestroy</x:v>
      </x:c>
      <x:c r="U46" s="14" t="str">
        <x:v>Step 4-6、10、11、14</x:v>
      </x:c>
      <x:c r="V46" s="84" t="str">
        <x:v>未着手</x:v>
      </x:c>
      <x:c r="W46" s="14" t="str">
        <x:v>疎通・動作確認</x:v>
      </x:c>
    </x:row>
    <x:row r="47" ht="58" customHeight="1">
      <x:c r="A47" s="14" t="n">
        <x:v>3</x:v>
      </x:c>
      <x:c r="B47" s="14" t="n">
        <x:v>10</x:v>
      </x:c>
      <x:c r="C47" s="14" t="str">
        <x:v>ネットワーク</x:v>
      </x:c>
      <x:c r="D47" s="14" t="str">
        <x:v>Amazon VPC / S3 Gateway VPC Endpoint</x:v>
      </x:c>
      <x:c r="E47" s="14" t="str">
        <x:v>RDSとLambda用の閉域ネットワークを作成</x:v>
      </x:c>
      <x:c r="F47" s="14" t="str">
        <x:v>Step 2</x:v>
      </x:c>
      <x:c r="G47" s="14" t="str">
        <x:v>infra/environments/dev/00-foundation</x:v>
      </x:c>
      <x:c r="H47" s="14" t="str">
        <x:v>vpc.tf, variables.tf, outputs.tf</x:v>
      </x:c>
      <x:c r="I47" s="14" t="str">
        <x:v>aws_vpc, aws_subnet, aws_route_table, aws_route_table_association, aws_security_group, aws_vpc_endpoint</x:v>
      </x:c>
      <x:c r="J47" s="14" t="str">
        <x:v>network</x:v>
      </x:c>
      <x:c r="K47" s="14" t="str">
        <x:v>2AZ Private Subnet、SG、S3 Gateway Endpointが存在</x:v>
      </x:c>
      <x:c r="L47" s="14" t="str">
        <x:v>vpc_cidr、private_subnet_cidrs、availability_zones</x:v>
      </x:c>
      <x:c r="M47" s="14" t="str"/>
      <x:c r="N47" s="14" t="str"/>
      <x:c r="O47" s="14" t="str"/>
      <x:c r="P47" s="14" t="str">
        <x:v>2AZ Private Subnet、SG、S3 Gateway Endpointが存在</x:v>
      </x:c>
      <x:c r="Q47" s="14" t="str"/>
      <x:c r="R47" s="14" t="str">
        <x:v>VPC基本0円</x:v>
      </x:c>
      <x:c r="S47" s="14" t="str">
        <x:v>NATなし、SGは相互参照で最小化</x:v>
      </x:c>
      <x:c r="T47" s="14" t="str">
        <x:v>RDS/Lambda ENI削除後にdestroy</x:v>
      </x:c>
      <x:c r="U47" s="14" t="str">
        <x:v>Step 4-6、10、11、14</x:v>
      </x:c>
      <x:c r="V47" s="84" t="str">
        <x:v>未着手</x:v>
      </x:c>
      <x:c r="W47" s="14" t="str">
        <x:v>成功条件確認</x:v>
      </x:c>
    </x:row>
    <x:row r="48" ht="58" customHeight="1">
      <x:c r="A48" s="14" t="n">
        <x:v>3</x:v>
      </x:c>
      <x:c r="B48" s="14" t="n">
        <x:v>11</x:v>
      </x:c>
      <x:c r="C48" s="14" t="str">
        <x:v>ネットワーク</x:v>
      </x:c>
      <x:c r="D48" s="14" t="str">
        <x:v>Amazon VPC / S3 Gateway VPC Endpoint</x:v>
      </x:c>
      <x:c r="E48" s="14" t="str">
        <x:v>RDSとLambda用の閉域ネットワークを作成</x:v>
      </x:c>
      <x:c r="F48" s="14" t="str">
        <x:v>Step 2</x:v>
      </x:c>
      <x:c r="G48" s="14" t="str">
        <x:v>infra/environments/dev/00-foundation</x:v>
      </x:c>
      <x:c r="H48" s="14" t="str">
        <x:v>vpc.tf, variables.tf, outputs.tf</x:v>
      </x:c>
      <x:c r="I48" s="14" t="str">
        <x:v>aws_vpc, aws_subnet, aws_route_table, aws_route_table_association, aws_security_group, aws_vpc_endpoint</x:v>
      </x:c>
      <x:c r="J48" s="14" t="str">
        <x:v>network</x:v>
      </x:c>
      <x:c r="K48" s="14" t="str">
        <x:v>CIDR重複、AZ、Route Table、Endpoint policy</x:v>
      </x:c>
      <x:c r="L48" s="14" t="str">
        <x:v>vpc_cidr、private_subnet_cidrs、availability_zones</x:v>
      </x:c>
      <x:c r="M48" s="14" t="str"/>
      <x:c r="N48" s="14" t="str"/>
      <x:c r="O48" s="14" t="str"/>
      <x:c r="P48" s="14" t="str"/>
      <x:c r="Q48" s="14" t="str">
        <x:v>CIDR重複、AZ、Route Table、Endpoint policy</x:v>
      </x:c>
      <x:c r="R48" s="14" t="str">
        <x:v>VPC基本0円</x:v>
      </x:c>
      <x:c r="S48" s="14" t="str">
        <x:v>NATなし、SGは相互参照で最小化</x:v>
      </x:c>
      <x:c r="T48" s="14" t="str">
        <x:v>RDS/Lambda ENI削除後にdestroy</x:v>
      </x:c>
      <x:c r="U48" s="14" t="str">
        <x:v>Step 4-6、10、11、14</x:v>
      </x:c>
      <x:c r="V48" s="84" t="str">
        <x:v>未着手</x:v>
      </x:c>
      <x:c r="W48" s="14" t="str">
        <x:v>失敗時確認</x:v>
      </x:c>
    </x:row>
    <x:row r="49" ht="58" customHeight="1">
      <x:c r="A49" s="14" t="n">
        <x:v>3</x:v>
      </x:c>
      <x:c r="B49" s="14" t="n">
        <x:v>12</x:v>
      </x:c>
      <x:c r="C49" s="14" t="str">
        <x:v>ネットワーク</x:v>
      </x:c>
      <x:c r="D49" s="14" t="str">
        <x:v>Amazon VPC / S3 Gateway VPC Endpoint</x:v>
      </x:c>
      <x:c r="E49" s="14" t="str">
        <x:v>RDSとLambda用の閉域ネットワークを作成</x:v>
      </x:c>
      <x:c r="F49" s="14" t="str">
        <x:v>Step 2</x:v>
      </x:c>
      <x:c r="G49" s="14" t="str">
        <x:v>infra/environments/dev/00-foundation</x:v>
      </x:c>
      <x:c r="H49" s="14" t="str">
        <x:v>vpc.tf, variables.tf, outputs.tf</x:v>
      </x:c>
      <x:c r="I49" s="14" t="str">
        <x:v>aws_vpc, aws_subnet, aws_route_table, aws_route_table_association, aws_security_group, aws_vpc_endpoint</x:v>
      </x:c>
      <x:c r="J49" s="14" t="str">
        <x:v>network</x:v>
      </x:c>
      <x:c r="K49" s="14" t="str">
        <x:v>削除: RDS/Lambda ENI削除後にdestroy / 次: Step 4-6、10、11、14</x:v>
      </x:c>
      <x:c r="L49" s="14" t="str">
        <x:v>vpc_cidr、private_subnet_cidrs、availability_zones</x:v>
      </x:c>
      <x:c r="M49" s="14" t="str"/>
      <x:c r="N49" s="14" t="str"/>
      <x:c r="O49" s="14" t="str"/>
      <x:c r="P49" s="14" t="str"/>
      <x:c r="Q49" s="14" t="str"/>
      <x:c r="R49" s="14" t="str">
        <x:v>VPC基本0円</x:v>
      </x:c>
      <x:c r="S49" s="14" t="str">
        <x:v>NATなし、SGは相互参照で最小化</x:v>
      </x:c>
      <x:c r="T49" s="14" t="str">
        <x:v>RDS/Lambda ENI削除後にdestroy</x:v>
      </x:c>
      <x:c r="U49" s="14" t="str">
        <x:v>Step 4-6、10、11、14</x:v>
      </x:c>
      <x:c r="V49" s="84" t="str">
        <x:v>未着手</x:v>
      </x:c>
      <x:c r="W49" s="14" t="str">
        <x:v>依存・削除確認</x:v>
      </x:c>
    </x:row>
    <x:row r="50" ht="58" customHeight="1">
      <x:c r="A50" s="14" t="n">
        <x:v>4</x:v>
      </x:c>
      <x:c r="B50" s="14" t="n">
        <x:v>1</x:v>
      </x:c>
      <x:c r="C50" s="14" t="str">
        <x:v>ストレージ</x:v>
      </x:c>
      <x:c r="D50" s="14" t="str">
        <x:v>Amazon S3（Frontend）</x:v>
      </x:c>
      <x:c r="E50" s="14" t="str">
        <x:v>React成果物を非公開保存</x:v>
      </x:c>
      <x:c r="F50" s="14" t="str">
        <x:v>Step 1</x:v>
      </x:c>
      <x:c r="G50" s="14" t="str">
        <x:v>infra/environments/dev/10-storage-queue</x:v>
      </x:c>
      <x:c r="H50" s="14" t="str">
        <x:v>versions.tf, backend.hcl, providers.tf, variables.tf, locals.tf, s3_frontend.tf, outputs.tf</x:v>
      </x:c>
      <x:c r="I50" s="14" t="str">
        <x:v>aws_s3_bucket, aws_s3_bucket_public_access_block, aws_s3_bucket_versioning, aws_s3_bucket_server_side_encryption_configuration</x:v>
      </x:c>
      <x:c r="J50" s="14" t="str">
        <x:v>frontend-storage</x:v>
      </x:c>
      <x:c r="K50" s="14" t="str">
        <x:v>対象ファイルを作成し、resourceとmoduleの責務を分ける。</x:v>
      </x:c>
      <x:c r="L50" s="14" t="str">
        <x:v>frontend_bucket_name、force_destroy=false</x:v>
      </x:c>
      <x:c r="M50" s="14" t="str"/>
      <x:c r="N50" s="14" t="str"/>
      <x:c r="O50" s="14" t="str"/>
      <x:c r="P50" s="14" t="str"/>
      <x:c r="Q50" s="14" t="str"/>
      <x:c r="R50" s="14" t="str">
        <x:v>保存量とrequest</x:v>
      </x:c>
      <x:c r="S50" s="14" t="str">
        <x:v>Block Public Accessを全項目有効</x:v>
      </x:c>
      <x:c r="T50" s="14" t="str">
        <x:v>全object/version/delete marker削除後にdestroy</x:v>
      </x:c>
      <x:c r="U50" s="14" t="str">
        <x:v>Step 15 CloudFront</x:v>
      </x:c>
      <x:c r="V50" s="84" t="str">
        <x:v>未着手</x:v>
      </x:c>
      <x:c r="W50" s="14" t="str">
        <x:v>対象ファイルの準備</x:v>
      </x:c>
    </x:row>
    <x:row r="51" ht="58" customHeight="1">
      <x:c r="A51" s="14" t="n">
        <x:v>4</x:v>
      </x:c>
      <x:c r="B51" s="14" t="n">
        <x:v>2</x:v>
      </x:c>
      <x:c r="C51" s="14" t="str">
        <x:v>ストレージ</x:v>
      </x:c>
      <x:c r="D51" s="14" t="str">
        <x:v>Amazon S3（Frontend）</x:v>
      </x:c>
      <x:c r="E51" s="14" t="str">
        <x:v>React成果物を非公開保存</x:v>
      </x:c>
      <x:c r="F51" s="14" t="str">
        <x:v>Step 1</x:v>
      </x:c>
      <x:c r="G51" s="14" t="str">
        <x:v>infra/environments/dev/10-storage-queue</x:v>
      </x:c>
      <x:c r="H51" s="14" t="str">
        <x:v>versions.tf, backend.hcl, providers.tf, variables.tf, locals.tf, s3_frontend.tf, outputs.tf</x:v>
      </x:c>
      <x:c r="I51" s="14" t="str">
        <x:v>aws_s3_bucket, aws_s3_bucket_public_access_block, aws_s3_bucket_versioning, aws_s3_bucket_server_side_encryption_configuration</x:v>
      </x:c>
      <x:c r="J51" s="14" t="str">
        <x:v>frontend-storage</x:v>
      </x:c>
      <x:c r="K51" s="14" t="str">
        <x:v>非機密値だけをtfvarsまたは環境変数へ設定する。</x:v>
      </x:c>
      <x:c r="L51" s="14" t="str">
        <x:v>frontend_bucket_name、force_destroy=false</x:v>
      </x:c>
      <x:c r="M51" s="14" t="str"/>
      <x:c r="N51" s="14" t="str"/>
      <x:c r="O51" s="14" t="str"/>
      <x:c r="P51" s="14" t="str"/>
      <x:c r="Q51" s="14" t="str"/>
      <x:c r="R51" s="14" t="str">
        <x:v>保存量とrequest</x:v>
      </x:c>
      <x:c r="S51" s="14" t="str">
        <x:v>Block Public Accessを全項目有効</x:v>
      </x:c>
      <x:c r="T51" s="14" t="str">
        <x:v>全object/version/delete marker削除後にdestroy</x:v>
      </x:c>
      <x:c r="U51" s="14" t="str">
        <x:v>Step 15 CloudFront</x:v>
      </x:c>
      <x:c r="V51" s="84" t="str">
        <x:v>未着手</x:v>
      </x:c>
      <x:c r="W51" s="14" t="str">
        <x:v>設定値の準備</x:v>
      </x:c>
    </x:row>
    <x:row r="52" ht="58" customHeight="1">
      <x:c r="A52" s="14" t="n">
        <x:v>4</x:v>
      </x:c>
      <x:c r="B52" s="14" t="n">
        <x:v>3</x:v>
      </x:c>
      <x:c r="C52" s="14" t="str">
        <x:v>ストレージ</x:v>
      </x:c>
      <x:c r="D52" s="14" t="str">
        <x:v>Amazon S3（Frontend）</x:v>
      </x:c>
      <x:c r="E52" s="14" t="str">
        <x:v>React成果物を非公開保存</x:v>
      </x:c>
      <x:c r="F52" s="14" t="str">
        <x:v>Step 1</x:v>
      </x:c>
      <x:c r="G52" s="14" t="str">
        <x:v>infra/environments/dev/10-storage-queue</x:v>
      </x:c>
      <x:c r="H52" s="14" t="str">
        <x:v>versions.tf, backend.hcl, providers.tf, variables.tf, locals.tf, s3_frontend.tf, outputs.tf</x:v>
      </x:c>
      <x:c r="I52" s="14" t="str">
        <x:v>aws_s3_bucket, aws_s3_bucket_public_access_block, aws_s3_bucket_versioning, aws_s3_bucket_server_side_encryption_configuration</x:v>
      </x:c>
      <x:c r="J52" s="14" t="str">
        <x:v>frontend-storage</x:v>
      </x:c>
      <x:c r="K52" s="14" t="str">
        <x:v>HCLファイルを自動整形する。</x:v>
      </x:c>
      <x:c r="L52" s="14" t="str">
        <x:v>frontend_bucket_name、force_destroy=false</x:v>
      </x:c>
      <x:c r="M52" s="14" t="str">
        <x:v>`terraform fmt -recursive`</x:v>
      </x:c>
      <x:c r="N52" s="14" t="str"/>
      <x:c r="O52" s="14" t="str"/>
      <x:c r="P52" s="14" t="str"/>
      <x:c r="Q52" s="14" t="str"/>
      <x:c r="R52" s="14" t="str">
        <x:v>保存量とrequest</x:v>
      </x:c>
      <x:c r="S52" s="14" t="str">
        <x:v>Block Public Accessを全項目有効</x:v>
      </x:c>
      <x:c r="T52" s="14" t="str">
        <x:v>全object/version/delete marker削除後にdestroy</x:v>
      </x:c>
      <x:c r="U52" s="14" t="str">
        <x:v>Step 15 CloudFront</x:v>
      </x:c>
      <x:c r="V52" s="84" t="str">
        <x:v>未着手</x:v>
      </x:c>
      <x:c r="W52" s="14" t="str">
        <x:v>terraform fmt</x:v>
      </x:c>
    </x:row>
    <x:row r="53" ht="58" customHeight="1">
      <x:c r="A53" s="14" t="n">
        <x:v>4</x:v>
      </x:c>
      <x:c r="B53" s="14" t="n">
        <x:v>4</x:v>
      </x:c>
      <x:c r="C53" s="14" t="str">
        <x:v>ストレージ</x:v>
      </x:c>
      <x:c r="D53" s="14" t="str">
        <x:v>Amazon S3（Frontend）</x:v>
      </x:c>
      <x:c r="E53" s="14" t="str">
        <x:v>React成果物を非公開保存</x:v>
      </x:c>
      <x:c r="F53" s="14" t="str">
        <x:v>Step 1</x:v>
      </x:c>
      <x:c r="G53" s="14" t="str">
        <x:v>infra/environments/dev/10-storage-queue</x:v>
      </x:c>
      <x:c r="H53" s="14" t="str">
        <x:v>versions.tf, backend.hcl, providers.tf, variables.tf, locals.tf, s3_frontend.tf, outputs.tf</x:v>
      </x:c>
      <x:c r="I53" s="14" t="str">
        <x:v>aws_s3_bucket, aws_s3_bucket_public_access_block, aws_s3_bucket_versioning, aws_s3_bucket_server_side_encryption_configuration</x:v>
      </x:c>
      <x:c r="J53" s="14" t="str">
        <x:v>frontend-storage</x:v>
      </x:c>
      <x:c r="K53" s="14" t="str">
        <x:v>backend、Provider、moduleを初期化する。</x:v>
      </x:c>
      <x:c r="L53" s="14" t="str">
        <x:v>frontend_bucket_name、force_destroy=false</x:v>
      </x:c>
      <x:c r="M53" s="14" t="str">
        <x:v>新root stackのためinit必要。</x:v>
      </x:c>
      <x:c r="N53" s="14" t="str"/>
      <x:c r="O53" s="14" t="str"/>
      <x:c r="P53" s="14" t="str"/>
      <x:c r="Q53" s="14" t="str"/>
      <x:c r="R53" s="14" t="str">
        <x:v>保存量とrequest</x:v>
      </x:c>
      <x:c r="S53" s="14" t="str">
        <x:v>Block Public Accessを全項目有効</x:v>
      </x:c>
      <x:c r="T53" s="14" t="str">
        <x:v>全object/version/delete marker削除後にdestroy</x:v>
      </x:c>
      <x:c r="U53" s="14" t="str">
        <x:v>Step 15 CloudFront</x:v>
      </x:c>
      <x:c r="V53" s="84" t="str">
        <x:v>未着手</x:v>
      </x:c>
      <x:c r="W53" s="14" t="str">
        <x:v>terraform init</x:v>
      </x:c>
    </x:row>
    <x:row r="54" ht="58" customHeight="1">
      <x:c r="A54" s="14" t="n">
        <x:v>4</x:v>
      </x:c>
      <x:c r="B54" s="14" t="n">
        <x:v>5</x:v>
      </x:c>
      <x:c r="C54" s="14" t="str">
        <x:v>ストレージ</x:v>
      </x:c>
      <x:c r="D54" s="14" t="str">
        <x:v>Amazon S3（Frontend）</x:v>
      </x:c>
      <x:c r="E54" s="14" t="str">
        <x:v>React成果物を非公開保存</x:v>
      </x:c>
      <x:c r="F54" s="14" t="str">
        <x:v>Step 1</x:v>
      </x:c>
      <x:c r="G54" s="14" t="str">
        <x:v>infra/environments/dev/10-storage-queue</x:v>
      </x:c>
      <x:c r="H54" s="14" t="str">
        <x:v>versions.tf, backend.hcl, providers.tf, variables.tf, locals.tf, s3_frontend.tf, outputs.tf</x:v>
      </x:c>
      <x:c r="I54" s="14" t="str">
        <x:v>aws_s3_bucket, aws_s3_bucket_public_access_block, aws_s3_bucket_versioning, aws_s3_bucket_server_side_encryption_configuration</x:v>
      </x:c>
      <x:c r="J54" s="14" t="str">
        <x:v>frontend-storage</x:v>
      </x:c>
      <x:c r="K54" s="14" t="str">
        <x:v>`terraform validate`</x:v>
      </x:c>
      <x:c r="L54" s="14" t="str">
        <x:v>frontend_bucket_name、force_destroy=false</x:v>
      </x:c>
      <x:c r="M54" s="14" t="str">
        <x:v>`terraform validate`</x:v>
      </x:c>
      <x:c r="N54" s="14" t="str"/>
      <x:c r="O54" s="14" t="str"/>
      <x:c r="P54" s="14" t="str"/>
      <x:c r="Q54" s="14" t="str"/>
      <x:c r="R54" s="14" t="str">
        <x:v>保存量とrequest</x:v>
      </x:c>
      <x:c r="S54" s="14" t="str">
        <x:v>Block Public Accessを全項目有効</x:v>
      </x:c>
      <x:c r="T54" s="14" t="str">
        <x:v>全object/version/delete marker削除後にdestroy</x:v>
      </x:c>
      <x:c r="U54" s="14" t="str">
        <x:v>Step 15 CloudFront</x:v>
      </x:c>
      <x:c r="V54" s="84" t="str">
        <x:v>未着手</x:v>
      </x:c>
      <x:c r="W54" s="14" t="str">
        <x:v>terraform validate</x:v>
      </x:c>
    </x:row>
    <x:row r="55" ht="58" customHeight="1">
      <x:c r="A55" s="14" t="n">
        <x:v>4</x:v>
      </x:c>
      <x:c r="B55" s="14" t="n">
        <x:v>6</x:v>
      </x:c>
      <x:c r="C55" s="14" t="str">
        <x:v>ストレージ</x:v>
      </x:c>
      <x:c r="D55" s="14" t="str">
        <x:v>Amazon S3（Frontend）</x:v>
      </x:c>
      <x:c r="E55" s="14" t="str">
        <x:v>React成果物を非公開保存</x:v>
      </x:c>
      <x:c r="F55" s="14" t="str">
        <x:v>Step 1</x:v>
      </x:c>
      <x:c r="G55" s="14" t="str">
        <x:v>infra/environments/dev/10-storage-queue</x:v>
      </x:c>
      <x:c r="H55" s="14" t="str">
        <x:v>versions.tf, backend.hcl, providers.tf, variables.tf, locals.tf, s3_frontend.tf, outputs.tf</x:v>
      </x:c>
      <x:c r="I55" s="14" t="str">
        <x:v>aws_s3_bucket, aws_s3_bucket_public_access_block, aws_s3_bucket_versioning, aws_s3_bucket_server_side_encryption_configuration</x:v>
      </x:c>
      <x:c r="J55" s="14" t="str">
        <x:v>frontend-storage</x:v>
      </x:c>
      <x:c r="K55" s="14" t="str">
        <x:v>`terraform plan -out=tfplan`</x:v>
      </x:c>
      <x:c r="L55" s="14" t="str">
        <x:v>frontend_bucket_name、force_destroy=false</x:v>
      </x:c>
      <x:c r="M55" s="14" t="str">
        <x:v>`terraform plan -out=tfplan`</x:v>
      </x:c>
      <x:c r="N55" s="14" t="str"/>
      <x:c r="O55" s="14" t="str"/>
      <x:c r="P55" s="14" t="str"/>
      <x:c r="Q55" s="14" t="str"/>
      <x:c r="R55" s="14" t="str">
        <x:v>保存量とrequest</x:v>
      </x:c>
      <x:c r="S55" s="14" t="str">
        <x:v>Block Public Accessを全項目有効</x:v>
      </x:c>
      <x:c r="T55" s="14" t="str">
        <x:v>全object/version/delete marker削除後にdestroy</x:v>
      </x:c>
      <x:c r="U55" s="14" t="str">
        <x:v>Step 15 CloudFront</x:v>
      </x:c>
      <x:c r="V55" s="84" t="str">
        <x:v>未着手</x:v>
      </x:c>
      <x:c r="W55" s="14" t="str">
        <x:v>terraform plan</x:v>
      </x:c>
    </x:row>
    <x:row r="56" ht="58" customHeight="1">
      <x:c r="A56" s="14" t="n">
        <x:v>4</x:v>
      </x:c>
      <x:c r="B56" s="14" t="n">
        <x:v>7</x:v>
      </x:c>
      <x:c r="C56" s="14" t="str">
        <x:v>ストレージ</x:v>
      </x:c>
      <x:c r="D56" s="14" t="str">
        <x:v>Amazon S3（Frontend）</x:v>
      </x:c>
      <x:c r="E56" s="14" t="str">
        <x:v>React成果物を非公開保存</x:v>
      </x:c>
      <x:c r="F56" s="14" t="str">
        <x:v>Step 1</x:v>
      </x:c>
      <x:c r="G56" s="14" t="str">
        <x:v>infra/environments/dev/10-storage-queue</x:v>
      </x:c>
      <x:c r="H56" s="14" t="str">
        <x:v>versions.tf, backend.hcl, providers.tf, variables.tf, locals.tf, s3_frontend.tf, outputs.tf</x:v>
      </x:c>
      <x:c r="I56" s="14" t="str">
        <x:v>aws_s3_bucket, aws_s3_bucket_public_access_block, aws_s3_bucket_versioning, aws_s3_bucket_server_side_encryption_configuration</x:v>
      </x:c>
      <x:c r="J56" s="14" t="str">
        <x:v>frontend-storage</x:v>
      </x:c>
      <x:c r="K56" s="14" t="str">
        <x:v>`terraform apply tfplan`</x:v>
      </x:c>
      <x:c r="L56" s="14" t="str">
        <x:v>frontend_bucket_name、force_destroy=false</x:v>
      </x:c>
      <x:c r="M56" s="14" t="str">
        <x:v>`terraform apply tfplan`</x:v>
      </x:c>
      <x:c r="N56" s="14" t="str"/>
      <x:c r="O56" s="14" t="str"/>
      <x:c r="P56" s="14" t="str"/>
      <x:c r="Q56" s="14" t="str"/>
      <x:c r="R56" s="14" t="str">
        <x:v>保存量とrequest</x:v>
      </x:c>
      <x:c r="S56" s="14" t="str">
        <x:v>Block Public Accessを全項目有効</x:v>
      </x:c>
      <x:c r="T56" s="14" t="str">
        <x:v>全object/version/delete marker削除後にdestroy</x:v>
      </x:c>
      <x:c r="U56" s="14" t="str">
        <x:v>Step 15 CloudFront</x:v>
      </x:c>
      <x:c r="V56" s="84" t="str">
        <x:v>未着手</x:v>
      </x:c>
      <x:c r="W56" s="14" t="str">
        <x:v>terraform apply</x:v>
      </x:c>
    </x:row>
    <x:row r="57" ht="58" customHeight="1">
      <x:c r="A57" s="14" t="n">
        <x:v>4</x:v>
      </x:c>
      <x:c r="B57" s="14" t="n">
        <x:v>8</x:v>
      </x:c>
      <x:c r="C57" s="14" t="str">
        <x:v>ストレージ</x:v>
      </x:c>
      <x:c r="D57" s="14" t="str">
        <x:v>Amazon S3（Frontend）</x:v>
      </x:c>
      <x:c r="E57" s="14" t="str">
        <x:v>React成果物を非公開保存</x:v>
      </x:c>
      <x:c r="F57" s="14" t="str">
        <x:v>Step 1</x:v>
      </x:c>
      <x:c r="G57" s="14" t="str">
        <x:v>infra/environments/dev/10-storage-queue</x:v>
      </x:c>
      <x:c r="H57" s="14" t="str">
        <x:v>versions.tf, backend.hcl, providers.tf, variables.tf, locals.tf, s3_frontend.tf, outputs.tf</x:v>
      </x:c>
      <x:c r="I57" s="14" t="str">
        <x:v>aws_s3_bucket, aws_s3_bucket_public_access_block, aws_s3_bucket_versioning, aws_s3_bucket_server_side_encryption_configuration</x:v>
      </x:c>
      <x:c r="J57" s="14" t="str">
        <x:v>frontend-storage</x:v>
      </x:c>
      <x:c r="K57" s="14" t="str">
        <x:v>S3 Consoleで公開アクセス禁止・暗号化を確認</x:v>
      </x:c>
      <x:c r="L57" s="14" t="str">
        <x:v>frontend_bucket_name、force_destroy=false</x:v>
      </x:c>
      <x:c r="M57" s="14" t="str"/>
      <x:c r="N57" s="14" t="str">
        <x:v>S3 Consoleで公開アクセス禁止・暗号化を確認</x:v>
      </x:c>
      <x:c r="O57" s="14" t="str"/>
      <x:c r="P57" s="14" t="str"/>
      <x:c r="Q57" s="14" t="str"/>
      <x:c r="R57" s="14" t="str">
        <x:v>保存量とrequest</x:v>
      </x:c>
      <x:c r="S57" s="14" t="str">
        <x:v>Block Public Accessを全項目有効</x:v>
      </x:c>
      <x:c r="T57" s="14" t="str">
        <x:v>全object/version/delete marker削除後にdestroy</x:v>
      </x:c>
      <x:c r="U57" s="14" t="str">
        <x:v>Step 15 CloudFront</x:v>
      </x:c>
      <x:c r="V57" s="84" t="str">
        <x:v>未着手</x:v>
      </x:c>
      <x:c r="W57" s="14" t="str">
        <x:v>AWSリソース確認</x:v>
      </x:c>
    </x:row>
    <x:row r="58" ht="58" customHeight="1">
      <x:c r="A58" s="14" t="n">
        <x:v>4</x:v>
      </x:c>
      <x:c r="B58" s="14" t="n">
        <x:v>9</x:v>
      </x:c>
      <x:c r="C58" s="14" t="str">
        <x:v>ストレージ</x:v>
      </x:c>
      <x:c r="D58" s="14" t="str">
        <x:v>Amazon S3（Frontend）</x:v>
      </x:c>
      <x:c r="E58" s="14" t="str">
        <x:v>React成果物を非公開保存</x:v>
      </x:c>
      <x:c r="F58" s="14" t="str">
        <x:v>Step 1</x:v>
      </x:c>
      <x:c r="G58" s="14" t="str">
        <x:v>infra/environments/dev/10-storage-queue</x:v>
      </x:c>
      <x:c r="H58" s="14" t="str">
        <x:v>versions.tf, backend.hcl, providers.tf, variables.tf, locals.tf, s3_frontend.tf, outputs.tf</x:v>
      </x:c>
      <x:c r="I58" s="14" t="str">
        <x:v>aws_s3_bucket, aws_s3_bucket_public_access_block, aws_s3_bucket_versioning, aws_s3_bucket_server_side_encryption_configuration</x:v>
      </x:c>
      <x:c r="J58" s="14" t="str">
        <x:v>frontend-storage</x:v>
      </x:c>
      <x:c r="K58" s="14" t="str">
        <x:v>匿名GETが403、認証済みCLI PUTが成功</x:v>
      </x:c>
      <x:c r="L58" s="14" t="str">
        <x:v>frontend_bucket_name、force_destroy=false</x:v>
      </x:c>
      <x:c r="M58" s="14" t="str"/>
      <x:c r="N58" s="14" t="str"/>
      <x:c r="O58" s="14" t="str">
        <x:v>匿名GETが403、認証済みCLI PUTが成功</x:v>
      </x:c>
      <x:c r="P58" s="14" t="str"/>
      <x:c r="Q58" s="14" t="str"/>
      <x:c r="R58" s="14" t="str">
        <x:v>保存量とrequest</x:v>
      </x:c>
      <x:c r="S58" s="14" t="str">
        <x:v>Block Public Accessを全項目有効</x:v>
      </x:c>
      <x:c r="T58" s="14" t="str">
        <x:v>全object/version/delete marker削除後にdestroy</x:v>
      </x:c>
      <x:c r="U58" s="14" t="str">
        <x:v>Step 15 CloudFront</x:v>
      </x:c>
      <x:c r="V58" s="84" t="str">
        <x:v>未着手</x:v>
      </x:c>
      <x:c r="W58" s="14" t="str">
        <x:v>疎通・動作確認</x:v>
      </x:c>
    </x:row>
    <x:row r="59" ht="58" customHeight="1">
      <x:c r="A59" s="14" t="n">
        <x:v>4</x:v>
      </x:c>
      <x:c r="B59" s="14" t="n">
        <x:v>10</x:v>
      </x:c>
      <x:c r="C59" s="14" t="str">
        <x:v>ストレージ</x:v>
      </x:c>
      <x:c r="D59" s="14" t="str">
        <x:v>Amazon S3（Frontend）</x:v>
      </x:c>
      <x:c r="E59" s="14" t="str">
        <x:v>React成果物を非公開保存</x:v>
      </x:c>
      <x:c r="F59" s="14" t="str">
        <x:v>Step 1</x:v>
      </x:c>
      <x:c r="G59" s="14" t="str">
        <x:v>infra/environments/dev/10-storage-queue</x:v>
      </x:c>
      <x:c r="H59" s="14" t="str">
        <x:v>versions.tf, backend.hcl, providers.tf, variables.tf, locals.tf, s3_frontend.tf, outputs.tf</x:v>
      </x:c>
      <x:c r="I59" s="14" t="str">
        <x:v>aws_s3_bucket, aws_s3_bucket_public_access_block, aws_s3_bucket_versioning, aws_s3_bucket_server_side_encryption_configuration</x:v>
      </x:c>
      <x:c r="J59" s="14" t="str">
        <x:v>frontend-storage</x:v>
      </x:c>
      <x:c r="K59" s="14" t="str">
        <x:v>非公開bucketへindex.htmlを配置でき、公開URLでは取得不可</x:v>
      </x:c>
      <x:c r="L59" s="14" t="str">
        <x:v>frontend_bucket_name、force_destroy=false</x:v>
      </x:c>
      <x:c r="M59" s="14" t="str"/>
      <x:c r="N59" s="14" t="str"/>
      <x:c r="O59" s="14" t="str"/>
      <x:c r="P59" s="14" t="str">
        <x:v>非公開bucketへindex.htmlを配置でき、公開URLでは取得不可</x:v>
      </x:c>
      <x:c r="Q59" s="14" t="str"/>
      <x:c r="R59" s="14" t="str">
        <x:v>保存量とrequest</x:v>
      </x:c>
      <x:c r="S59" s="14" t="str">
        <x:v>Block Public Accessを全項目有効</x:v>
      </x:c>
      <x:c r="T59" s="14" t="str">
        <x:v>全object/version/delete marker削除後にdestroy</x:v>
      </x:c>
      <x:c r="U59" s="14" t="str">
        <x:v>Step 15 CloudFront</x:v>
      </x:c>
      <x:c r="V59" s="84" t="str">
        <x:v>未着手</x:v>
      </x:c>
      <x:c r="W59" s="14" t="str">
        <x:v>成功条件確認</x:v>
      </x:c>
    </x:row>
    <x:row r="60" ht="58" customHeight="1">
      <x:c r="A60" s="14" t="n">
        <x:v>4</x:v>
      </x:c>
      <x:c r="B60" s="14" t="n">
        <x:v>11</x:v>
      </x:c>
      <x:c r="C60" s="14" t="str">
        <x:v>ストレージ</x:v>
      </x:c>
      <x:c r="D60" s="14" t="str">
        <x:v>Amazon S3（Frontend）</x:v>
      </x:c>
      <x:c r="E60" s="14" t="str">
        <x:v>React成果物を非公開保存</x:v>
      </x:c>
      <x:c r="F60" s="14" t="str">
        <x:v>Step 1</x:v>
      </x:c>
      <x:c r="G60" s="14" t="str">
        <x:v>infra/environments/dev/10-storage-queue</x:v>
      </x:c>
      <x:c r="H60" s="14" t="str">
        <x:v>versions.tf, backend.hcl, providers.tf, variables.tf, locals.tf, s3_frontend.tf, outputs.tf</x:v>
      </x:c>
      <x:c r="I60" s="14" t="str">
        <x:v>aws_s3_bucket, aws_s3_bucket_public_access_block, aws_s3_bucket_versioning, aws_s3_bucket_server_side_encryption_configuration</x:v>
      </x:c>
      <x:c r="J60" s="14" t="str">
        <x:v>frontend-storage</x:v>
      </x:c>
      <x:c r="K60" s="14" t="str">
        <x:v>bucket名重複、S3 policy、AWS CLI profile</x:v>
      </x:c>
      <x:c r="L60" s="14" t="str">
        <x:v>frontend_bucket_name、force_destroy=false</x:v>
      </x:c>
      <x:c r="M60" s="14" t="str"/>
      <x:c r="N60" s="14" t="str"/>
      <x:c r="O60" s="14" t="str"/>
      <x:c r="P60" s="14" t="str"/>
      <x:c r="Q60" s="14" t="str">
        <x:v>bucket名重複、S3 policy、AWS CLI profile</x:v>
      </x:c>
      <x:c r="R60" s="14" t="str">
        <x:v>保存量とrequest</x:v>
      </x:c>
      <x:c r="S60" s="14" t="str">
        <x:v>Block Public Accessを全項目有効</x:v>
      </x:c>
      <x:c r="T60" s="14" t="str">
        <x:v>全object/version/delete marker削除後にdestroy</x:v>
      </x:c>
      <x:c r="U60" s="14" t="str">
        <x:v>Step 15 CloudFront</x:v>
      </x:c>
      <x:c r="V60" s="84" t="str">
        <x:v>未着手</x:v>
      </x:c>
      <x:c r="W60" s="14" t="str">
        <x:v>失敗時確認</x:v>
      </x:c>
    </x:row>
    <x:row r="61" ht="58" customHeight="1">
      <x:c r="A61" s="14" t="n">
        <x:v>4</x:v>
      </x:c>
      <x:c r="B61" s="14" t="n">
        <x:v>12</x:v>
      </x:c>
      <x:c r="C61" s="14" t="str">
        <x:v>ストレージ</x:v>
      </x:c>
      <x:c r="D61" s="14" t="str">
        <x:v>Amazon S3（Frontend）</x:v>
      </x:c>
      <x:c r="E61" s="14" t="str">
        <x:v>React成果物を非公開保存</x:v>
      </x:c>
      <x:c r="F61" s="14" t="str">
        <x:v>Step 1</x:v>
      </x:c>
      <x:c r="G61" s="14" t="str">
        <x:v>infra/environments/dev/10-storage-queue</x:v>
      </x:c>
      <x:c r="H61" s="14" t="str">
        <x:v>versions.tf, backend.hcl, providers.tf, variables.tf, locals.tf, s3_frontend.tf, outputs.tf</x:v>
      </x:c>
      <x:c r="I61" s="14" t="str">
        <x:v>aws_s3_bucket, aws_s3_bucket_public_access_block, aws_s3_bucket_versioning, aws_s3_bucket_server_side_encryption_configuration</x:v>
      </x:c>
      <x:c r="J61" s="14" t="str">
        <x:v>frontend-storage</x:v>
      </x:c>
      <x:c r="K61" s="14" t="str">
        <x:v>削除: 全object/version/delete marker削除後にdestroy / 次: Step 15 CloudFront</x:v>
      </x:c>
      <x:c r="L61" s="14" t="str">
        <x:v>frontend_bucket_name、force_destroy=false</x:v>
      </x:c>
      <x:c r="M61" s="14" t="str"/>
      <x:c r="N61" s="14" t="str"/>
      <x:c r="O61" s="14" t="str"/>
      <x:c r="P61" s="14" t="str"/>
      <x:c r="Q61" s="14" t="str"/>
      <x:c r="R61" s="14" t="str">
        <x:v>保存量とrequest</x:v>
      </x:c>
      <x:c r="S61" s="14" t="str">
        <x:v>Block Public Accessを全項目有効</x:v>
      </x:c>
      <x:c r="T61" s="14" t="str">
        <x:v>全object/version/delete marker削除後にdestroy</x:v>
      </x:c>
      <x:c r="U61" s="14" t="str">
        <x:v>Step 15 CloudFront</x:v>
      </x:c>
      <x:c r="V61" s="84" t="str">
        <x:v>未着手</x:v>
      </x:c>
      <x:c r="W61" s="14" t="str">
        <x:v>依存・削除確認</x:v>
      </x:c>
    </x:row>
    <x:row r="62" ht="58" customHeight="1">
      <x:c r="A62" s="14" t="n">
        <x:v>5</x:v>
      </x:c>
      <x:c r="B62" s="14" t="n">
        <x:v>1</x:v>
      </x:c>
      <x:c r="C62" s="14" t="str">
        <x:v>ストレージ</x:v>
      </x:c>
      <x:c r="D62" s="14" t="str">
        <x:v>Amazon S3（Audio）</x:v>
      </x:c>
      <x:c r="E62" s="14" t="str">
        <x:v>ユーザー音声と変換結果を非公開保存</x:v>
      </x:c>
      <x:c r="F62" s="14" t="str">
        <x:v>Step 4</x:v>
      </x:c>
      <x:c r="G62" s="14" t="str">
        <x:v>infra/environments/dev/10-storage-queue</x:v>
      </x:c>
      <x:c r="H62" s="14" t="str">
        <x:v>s3_audio.tf, variables.tf, outputs.tf</x:v>
      </x:c>
      <x:c r="I62" s="14" t="str">
        <x:v>aws_s3_bucket, public_access_block, versioning, encryption, lifecycle_configuration, cors_configuration</x:v>
      </x:c>
      <x:c r="J62" s="14" t="str">
        <x:v>audio-storage</x:v>
      </x:c>
      <x:c r="K62" s="14" t="str">
        <x:v>対象ファイルを作成し、resourceとmoduleの責務を分ける。</x:v>
      </x:c>
      <x:c r="L62" s="14" t="str">
        <x:v>abort_incomplete_multipart_upload_days=1、CORS origin、lifecycle</x:v>
      </x:c>
      <x:c r="M62" s="14" t="str"/>
      <x:c r="N62" s="14" t="str"/>
      <x:c r="O62" s="14" t="str"/>
      <x:c r="P62" s="14" t="str"/>
      <x:c r="Q62" s="14" t="str"/>
      <x:c r="R62" s="14" t="str">
        <x:v>容量・PUT/GET・転送</x:v>
      </x:c>
      <x:c r="S62" s="14" t="str">
        <x:v>ユーザーprefix、署名URL以外を拒否</x:v>
      </x:c>
      <x:c r="T62" s="14" t="str">
        <x:v>multipart中止、全version削除後にdestroy</x:v>
      </x:c>
      <x:c r="U62" s="14" t="str">
        <x:v>Step 12-14</x:v>
      </x:c>
      <x:c r="V62" s="84" t="str">
        <x:v>未着手</x:v>
      </x:c>
      <x:c r="W62" s="14" t="str">
        <x:v>対象ファイルの準備</x:v>
      </x:c>
    </x:row>
    <x:row r="63" ht="58" customHeight="1">
      <x:c r="A63" s="14" t="n">
        <x:v>5</x:v>
      </x:c>
      <x:c r="B63" s="14" t="n">
        <x:v>2</x:v>
      </x:c>
      <x:c r="C63" s="14" t="str">
        <x:v>ストレージ</x:v>
      </x:c>
      <x:c r="D63" s="14" t="str">
        <x:v>Amazon S3（Audio）</x:v>
      </x:c>
      <x:c r="E63" s="14" t="str">
        <x:v>ユーザー音声と変換結果を非公開保存</x:v>
      </x:c>
      <x:c r="F63" s="14" t="str">
        <x:v>Step 4</x:v>
      </x:c>
      <x:c r="G63" s="14" t="str">
        <x:v>infra/environments/dev/10-storage-queue</x:v>
      </x:c>
      <x:c r="H63" s="14" t="str">
        <x:v>s3_audio.tf, variables.tf, outputs.tf</x:v>
      </x:c>
      <x:c r="I63" s="14" t="str">
        <x:v>aws_s3_bucket, public_access_block, versioning, encryption, lifecycle_configuration, cors_configuration</x:v>
      </x:c>
      <x:c r="J63" s="14" t="str">
        <x:v>audio-storage</x:v>
      </x:c>
      <x:c r="K63" s="14" t="str">
        <x:v>非機密値だけをtfvarsまたは環境変数へ設定する。</x:v>
      </x:c>
      <x:c r="L63" s="14" t="str">
        <x:v>abort_incomplete_multipart_upload_days=1、CORS origin、lifecycle</x:v>
      </x:c>
      <x:c r="M63" s="14" t="str"/>
      <x:c r="N63" s="14" t="str"/>
      <x:c r="O63" s="14" t="str"/>
      <x:c r="P63" s="14" t="str"/>
      <x:c r="Q63" s="14" t="str"/>
      <x:c r="R63" s="14" t="str">
        <x:v>容量・PUT/GET・転送</x:v>
      </x:c>
      <x:c r="S63" s="14" t="str">
        <x:v>ユーザーprefix、署名URL以外を拒否</x:v>
      </x:c>
      <x:c r="T63" s="14" t="str">
        <x:v>multipart中止、全version削除後にdestroy</x:v>
      </x:c>
      <x:c r="U63" s="14" t="str">
        <x:v>Step 12-14</x:v>
      </x:c>
      <x:c r="V63" s="84" t="str">
        <x:v>未着手</x:v>
      </x:c>
      <x:c r="W63" s="14" t="str">
        <x:v>設定値の準備</x:v>
      </x:c>
    </x:row>
    <x:row r="64" ht="58" customHeight="1">
      <x:c r="A64" s="14" t="n">
        <x:v>5</x:v>
      </x:c>
      <x:c r="B64" s="14" t="n">
        <x:v>3</x:v>
      </x:c>
      <x:c r="C64" s="14" t="str">
        <x:v>ストレージ</x:v>
      </x:c>
      <x:c r="D64" s="14" t="str">
        <x:v>Amazon S3（Audio）</x:v>
      </x:c>
      <x:c r="E64" s="14" t="str">
        <x:v>ユーザー音声と変換結果を非公開保存</x:v>
      </x:c>
      <x:c r="F64" s="14" t="str">
        <x:v>Step 4</x:v>
      </x:c>
      <x:c r="G64" s="14" t="str">
        <x:v>infra/environments/dev/10-storage-queue</x:v>
      </x:c>
      <x:c r="H64" s="14" t="str">
        <x:v>s3_audio.tf, variables.tf, outputs.tf</x:v>
      </x:c>
      <x:c r="I64" s="14" t="str">
        <x:v>aws_s3_bucket, public_access_block, versioning, encryption, lifecycle_configuration, cors_configuration</x:v>
      </x:c>
      <x:c r="J64" s="14" t="str">
        <x:v>audio-storage</x:v>
      </x:c>
      <x:c r="K64" s="14" t="str">
        <x:v>HCLファイルを自動整形する。</x:v>
      </x:c>
      <x:c r="L64" s="14" t="str">
        <x:v>abort_incomplete_multipart_upload_days=1、CORS origin、lifecycle</x:v>
      </x:c>
      <x:c r="M64" s="14" t="str">
        <x:v>`terraform fmt -recursive`</x:v>
      </x:c>
      <x:c r="N64" s="14" t="str"/>
      <x:c r="O64" s="14" t="str"/>
      <x:c r="P64" s="14" t="str"/>
      <x:c r="Q64" s="14" t="str"/>
      <x:c r="R64" s="14" t="str">
        <x:v>容量・PUT/GET・転送</x:v>
      </x:c>
      <x:c r="S64" s="14" t="str">
        <x:v>ユーザーprefix、署名URL以外を拒否</x:v>
      </x:c>
      <x:c r="T64" s="14" t="str">
        <x:v>multipart中止、全version削除後にdestroy</x:v>
      </x:c>
      <x:c r="U64" s="14" t="str">
        <x:v>Step 12-14</x:v>
      </x:c>
      <x:c r="V64" s="84" t="str">
        <x:v>未着手</x:v>
      </x:c>
      <x:c r="W64" s="14" t="str">
        <x:v>terraform fmt</x:v>
      </x:c>
    </x:row>
    <x:row r="65" ht="58" customHeight="1">
      <x:c r="A65" s="14" t="n">
        <x:v>5</x:v>
      </x:c>
      <x:c r="B65" s="14" t="n">
        <x:v>4</x:v>
      </x:c>
      <x:c r="C65" s="14" t="str">
        <x:v>ストレージ</x:v>
      </x:c>
      <x:c r="D65" s="14" t="str">
        <x:v>Amazon S3（Audio）</x:v>
      </x:c>
      <x:c r="E65" s="14" t="str">
        <x:v>ユーザー音声と変換結果を非公開保存</x:v>
      </x:c>
      <x:c r="F65" s="14" t="str">
        <x:v>Step 4</x:v>
      </x:c>
      <x:c r="G65" s="14" t="str">
        <x:v>infra/environments/dev/10-storage-queue</x:v>
      </x:c>
      <x:c r="H65" s="14" t="str">
        <x:v>s3_audio.tf, variables.tf, outputs.tf</x:v>
      </x:c>
      <x:c r="I65" s="14" t="str">
        <x:v>aws_s3_bucket, public_access_block, versioning, encryption, lifecycle_configuration, cors_configuration</x:v>
      </x:c>
      <x:c r="J65" s="14" t="str">
        <x:v>audio-storage</x:v>
      </x:c>
      <x:c r="K65" s="14" t="str">
        <x:v>backend、Provider、moduleを初期化する。</x:v>
      </x:c>
      <x:c r="L65" s="14" t="str">
        <x:v>abort_incomplete_multipart_upload_days=1、CORS origin、lifecycle</x:v>
      </x:c>
      <x:c r="M65" s="14" t="str">
        <x:v>同一stack。backend/module source不変なら不要。</x:v>
      </x:c>
      <x:c r="N65" s="14" t="str"/>
      <x:c r="O65" s="14" t="str"/>
      <x:c r="P65" s="14" t="str"/>
      <x:c r="Q65" s="14" t="str"/>
      <x:c r="R65" s="14" t="str">
        <x:v>容量・PUT/GET・転送</x:v>
      </x:c>
      <x:c r="S65" s="14" t="str">
        <x:v>ユーザーprefix、署名URL以外を拒否</x:v>
      </x:c>
      <x:c r="T65" s="14" t="str">
        <x:v>multipart中止、全version削除後にdestroy</x:v>
      </x:c>
      <x:c r="U65" s="14" t="str">
        <x:v>Step 12-14</x:v>
      </x:c>
      <x:c r="V65" s="84" t="str">
        <x:v>未着手</x:v>
      </x:c>
      <x:c r="W65" s="14" t="str">
        <x:v>terraform init</x:v>
      </x:c>
    </x:row>
    <x:row r="66" ht="58" customHeight="1">
      <x:c r="A66" s="14" t="n">
        <x:v>5</x:v>
      </x:c>
      <x:c r="B66" s="14" t="n">
        <x:v>5</x:v>
      </x:c>
      <x:c r="C66" s="14" t="str">
        <x:v>ストレージ</x:v>
      </x:c>
      <x:c r="D66" s="14" t="str">
        <x:v>Amazon S3（Audio）</x:v>
      </x:c>
      <x:c r="E66" s="14" t="str">
        <x:v>ユーザー音声と変換結果を非公開保存</x:v>
      </x:c>
      <x:c r="F66" s="14" t="str">
        <x:v>Step 4</x:v>
      </x:c>
      <x:c r="G66" s="14" t="str">
        <x:v>infra/environments/dev/10-storage-queue</x:v>
      </x:c>
      <x:c r="H66" s="14" t="str">
        <x:v>s3_audio.tf, variables.tf, outputs.tf</x:v>
      </x:c>
      <x:c r="I66" s="14" t="str">
        <x:v>aws_s3_bucket, public_access_block, versioning, encryption, lifecycle_configuration, cors_configuration</x:v>
      </x:c>
      <x:c r="J66" s="14" t="str">
        <x:v>audio-storage</x:v>
      </x:c>
      <x:c r="K66" s="14" t="str">
        <x:v>`terraform validate`</x:v>
      </x:c>
      <x:c r="L66" s="14" t="str">
        <x:v>abort_incomplete_multipart_upload_days=1、CORS origin、lifecycle</x:v>
      </x:c>
      <x:c r="M66" s="14" t="str">
        <x:v>`terraform validate`</x:v>
      </x:c>
      <x:c r="N66" s="14" t="str"/>
      <x:c r="O66" s="14" t="str"/>
      <x:c r="P66" s="14" t="str"/>
      <x:c r="Q66" s="14" t="str"/>
      <x:c r="R66" s="14" t="str">
        <x:v>容量・PUT/GET・転送</x:v>
      </x:c>
      <x:c r="S66" s="14" t="str">
        <x:v>ユーザーprefix、署名URL以外を拒否</x:v>
      </x:c>
      <x:c r="T66" s="14" t="str">
        <x:v>multipart中止、全version削除後にdestroy</x:v>
      </x:c>
      <x:c r="U66" s="14" t="str">
        <x:v>Step 12-14</x:v>
      </x:c>
      <x:c r="V66" s="84" t="str">
        <x:v>未着手</x:v>
      </x:c>
      <x:c r="W66" s="14" t="str">
        <x:v>terraform validate</x:v>
      </x:c>
    </x:row>
    <x:row r="67" ht="58" customHeight="1">
      <x:c r="A67" s="14" t="n">
        <x:v>5</x:v>
      </x:c>
      <x:c r="B67" s="14" t="n">
        <x:v>6</x:v>
      </x:c>
      <x:c r="C67" s="14" t="str">
        <x:v>ストレージ</x:v>
      </x:c>
      <x:c r="D67" s="14" t="str">
        <x:v>Amazon S3（Audio）</x:v>
      </x:c>
      <x:c r="E67" s="14" t="str">
        <x:v>ユーザー音声と変換結果を非公開保存</x:v>
      </x:c>
      <x:c r="F67" s="14" t="str">
        <x:v>Step 4</x:v>
      </x:c>
      <x:c r="G67" s="14" t="str">
        <x:v>infra/environments/dev/10-storage-queue</x:v>
      </x:c>
      <x:c r="H67" s="14" t="str">
        <x:v>s3_audio.tf, variables.tf, outputs.tf</x:v>
      </x:c>
      <x:c r="I67" s="14" t="str">
        <x:v>aws_s3_bucket, public_access_block, versioning, encryption, lifecycle_configuration, cors_configuration</x:v>
      </x:c>
      <x:c r="J67" s="14" t="str">
        <x:v>audio-storage</x:v>
      </x:c>
      <x:c r="K67" s="14" t="str">
        <x:v>`terraform plan -out=tfplan`</x:v>
      </x:c>
      <x:c r="L67" s="14" t="str">
        <x:v>abort_incomplete_multipart_upload_days=1、CORS origin、lifecycle</x:v>
      </x:c>
      <x:c r="M67" s="14" t="str">
        <x:v>`terraform plan -out=tfplan`</x:v>
      </x:c>
      <x:c r="N67" s="14" t="str"/>
      <x:c r="O67" s="14" t="str"/>
      <x:c r="P67" s="14" t="str"/>
      <x:c r="Q67" s="14" t="str"/>
      <x:c r="R67" s="14" t="str">
        <x:v>容量・PUT/GET・転送</x:v>
      </x:c>
      <x:c r="S67" s="14" t="str">
        <x:v>ユーザーprefix、署名URL以外を拒否</x:v>
      </x:c>
      <x:c r="T67" s="14" t="str">
        <x:v>multipart中止、全version削除後にdestroy</x:v>
      </x:c>
      <x:c r="U67" s="14" t="str">
        <x:v>Step 12-14</x:v>
      </x:c>
      <x:c r="V67" s="84" t="str">
        <x:v>未着手</x:v>
      </x:c>
      <x:c r="W67" s="14" t="str">
        <x:v>terraform plan</x:v>
      </x:c>
    </x:row>
    <x:row r="68" ht="58" customHeight="1">
      <x:c r="A68" s="14" t="n">
        <x:v>5</x:v>
      </x:c>
      <x:c r="B68" s="14" t="n">
        <x:v>7</x:v>
      </x:c>
      <x:c r="C68" s="14" t="str">
        <x:v>ストレージ</x:v>
      </x:c>
      <x:c r="D68" s="14" t="str">
        <x:v>Amazon S3（Audio）</x:v>
      </x:c>
      <x:c r="E68" s="14" t="str">
        <x:v>ユーザー音声と変換結果を非公開保存</x:v>
      </x:c>
      <x:c r="F68" s="14" t="str">
        <x:v>Step 4</x:v>
      </x:c>
      <x:c r="G68" s="14" t="str">
        <x:v>infra/environments/dev/10-storage-queue</x:v>
      </x:c>
      <x:c r="H68" s="14" t="str">
        <x:v>s3_audio.tf, variables.tf, outputs.tf</x:v>
      </x:c>
      <x:c r="I68" s="14" t="str">
        <x:v>aws_s3_bucket, public_access_block, versioning, encryption, lifecycle_configuration, cors_configuration</x:v>
      </x:c>
      <x:c r="J68" s="14" t="str">
        <x:v>audio-storage</x:v>
      </x:c>
      <x:c r="K68" s="14" t="str">
        <x:v>`terraform apply tfplan`</x:v>
      </x:c>
      <x:c r="L68" s="14" t="str">
        <x:v>abort_incomplete_multipart_upload_days=1、CORS origin、lifecycle</x:v>
      </x:c>
      <x:c r="M68" s="14" t="str">
        <x:v>`terraform apply tfplan`</x:v>
      </x:c>
      <x:c r="N68" s="14" t="str"/>
      <x:c r="O68" s="14" t="str"/>
      <x:c r="P68" s="14" t="str"/>
      <x:c r="Q68" s="14" t="str"/>
      <x:c r="R68" s="14" t="str">
        <x:v>容量・PUT/GET・転送</x:v>
      </x:c>
      <x:c r="S68" s="14" t="str">
        <x:v>ユーザーprefix、署名URL以外を拒否</x:v>
      </x:c>
      <x:c r="T68" s="14" t="str">
        <x:v>multipart中止、全version削除後にdestroy</x:v>
      </x:c>
      <x:c r="U68" s="14" t="str">
        <x:v>Step 12-14</x:v>
      </x:c>
      <x:c r="V68" s="84" t="str">
        <x:v>未着手</x:v>
      </x:c>
      <x:c r="W68" s="14" t="str">
        <x:v>terraform apply</x:v>
      </x:c>
    </x:row>
    <x:row r="69" ht="58" customHeight="1">
      <x:c r="A69" s="14" t="n">
        <x:v>5</x:v>
      </x:c>
      <x:c r="B69" s="14" t="n">
        <x:v>8</x:v>
      </x:c>
      <x:c r="C69" s="14" t="str">
        <x:v>ストレージ</x:v>
      </x:c>
      <x:c r="D69" s="14" t="str">
        <x:v>Amazon S3（Audio）</x:v>
      </x:c>
      <x:c r="E69" s="14" t="str">
        <x:v>ユーザー音声と変換結果を非公開保存</x:v>
      </x:c>
      <x:c r="F69" s="14" t="str">
        <x:v>Step 4</x:v>
      </x:c>
      <x:c r="G69" s="14" t="str">
        <x:v>infra/environments/dev/10-storage-queue</x:v>
      </x:c>
      <x:c r="H69" s="14" t="str">
        <x:v>s3_audio.tf, variables.tf, outputs.tf</x:v>
      </x:c>
      <x:c r="I69" s="14" t="str">
        <x:v>aws_s3_bucket, public_access_block, versioning, encryption, lifecycle_configuration, cors_configuration</x:v>
      </x:c>
      <x:c r="J69" s="14" t="str">
        <x:v>audio-storage</x:v>
      </x:c>
      <x:c r="K69" s="14" t="str">
        <x:v>S3 Consoleでlifecycle/CORS/暗号化を確認</x:v>
      </x:c>
      <x:c r="L69" s="14" t="str">
        <x:v>abort_incomplete_multipart_upload_days=1、CORS origin、lifecycle</x:v>
      </x:c>
      <x:c r="M69" s="14" t="str"/>
      <x:c r="N69" s="14" t="str">
        <x:v>S3 Consoleでlifecycle/CORS/暗号化を確認</x:v>
      </x:c>
      <x:c r="O69" s="14" t="str"/>
      <x:c r="P69" s="14" t="str"/>
      <x:c r="Q69" s="14" t="str"/>
      <x:c r="R69" s="14" t="str">
        <x:v>容量・PUT/GET・転送</x:v>
      </x:c>
      <x:c r="S69" s="14" t="str">
        <x:v>ユーザーprefix、署名URL以外を拒否</x:v>
      </x:c>
      <x:c r="T69" s="14" t="str">
        <x:v>multipart中止、全version削除後にdestroy</x:v>
      </x:c>
      <x:c r="U69" s="14" t="str">
        <x:v>Step 12-14</x:v>
      </x:c>
      <x:c r="V69" s="84" t="str">
        <x:v>未着手</x:v>
      </x:c>
      <x:c r="W69" s="14" t="str">
        <x:v>AWSリソース確認</x:v>
      </x:c>
    </x:row>
    <x:row r="70" ht="58" customHeight="1">
      <x:c r="A70" s="14" t="n">
        <x:v>5</x:v>
      </x:c>
      <x:c r="B70" s="14" t="n">
        <x:v>9</x:v>
      </x:c>
      <x:c r="C70" s="14" t="str">
        <x:v>ストレージ</x:v>
      </x:c>
      <x:c r="D70" s="14" t="str">
        <x:v>Amazon S3（Audio）</x:v>
      </x:c>
      <x:c r="E70" s="14" t="str">
        <x:v>ユーザー音声と変換結果を非公開保存</x:v>
      </x:c>
      <x:c r="F70" s="14" t="str">
        <x:v>Step 4</x:v>
      </x:c>
      <x:c r="G70" s="14" t="str">
        <x:v>infra/environments/dev/10-storage-queue</x:v>
      </x:c>
      <x:c r="H70" s="14" t="str">
        <x:v>s3_audio.tf, variables.tf, outputs.tf</x:v>
      </x:c>
      <x:c r="I70" s="14" t="str">
        <x:v>aws_s3_bucket, public_access_block, versioning, encryption, lifecycle_configuration, cors_configuration</x:v>
      </x:c>
      <x:c r="J70" s="14" t="str">
        <x:v>audio-storage</x:v>
      </x:c>
      <x:c r="K70" s="14" t="str">
        <x:v>指定OriginのPUTと匿名GET拒否を確認</x:v>
      </x:c>
      <x:c r="L70" s="14" t="str">
        <x:v>abort_incomplete_multipart_upload_days=1、CORS origin、lifecycle</x:v>
      </x:c>
      <x:c r="M70" s="14" t="str"/>
      <x:c r="N70" s="14" t="str"/>
      <x:c r="O70" s="14" t="str">
        <x:v>指定OriginのPUTと匿名GET拒否を確認</x:v>
      </x:c>
      <x:c r="P70" s="14" t="str"/>
      <x:c r="Q70" s="14" t="str"/>
      <x:c r="R70" s="14" t="str">
        <x:v>容量・PUT/GET・転送</x:v>
      </x:c>
      <x:c r="S70" s="14" t="str">
        <x:v>ユーザーprefix、署名URL以外を拒否</x:v>
      </x:c>
      <x:c r="T70" s="14" t="str">
        <x:v>multipart中止、全version削除後にdestroy</x:v>
      </x:c>
      <x:c r="U70" s="14" t="str">
        <x:v>Step 12-14</x:v>
      </x:c>
      <x:c r="V70" s="84" t="str">
        <x:v>未着手</x:v>
      </x:c>
      <x:c r="W70" s="14" t="str">
        <x:v>疎通・動作確認</x:v>
      </x:c>
    </x:row>
    <x:row r="71" ht="58" customHeight="1">
      <x:c r="A71" s="14" t="n">
        <x:v>5</x:v>
      </x:c>
      <x:c r="B71" s="14" t="n">
        <x:v>10</x:v>
      </x:c>
      <x:c r="C71" s="14" t="str">
        <x:v>ストレージ</x:v>
      </x:c>
      <x:c r="D71" s="14" t="str">
        <x:v>Amazon S3（Audio）</x:v>
      </x:c>
      <x:c r="E71" s="14" t="str">
        <x:v>ユーザー音声と変換結果を非公開保存</x:v>
      </x:c>
      <x:c r="F71" s="14" t="str">
        <x:v>Step 4</x:v>
      </x:c>
      <x:c r="G71" s="14" t="str">
        <x:v>infra/environments/dev/10-storage-queue</x:v>
      </x:c>
      <x:c r="H71" s="14" t="str">
        <x:v>s3_audio.tf, variables.tf, outputs.tf</x:v>
      </x:c>
      <x:c r="I71" s="14" t="str">
        <x:v>aws_s3_bucket, public_access_block, versioning, encryption, lifecycle_configuration, cors_configuration</x:v>
      </x:c>
      <x:c r="J71" s="14" t="str">
        <x:v>audio-storage</x:v>
      </x:c>
      <x:c r="K71" s="14" t="str">
        <x:v>uploads/・processed/設定とMultipart中止が有効</x:v>
      </x:c>
      <x:c r="L71" s="14" t="str">
        <x:v>abort_incomplete_multipart_upload_days=1、CORS origin、lifecycle</x:v>
      </x:c>
      <x:c r="M71" s="14" t="str"/>
      <x:c r="N71" s="14" t="str"/>
      <x:c r="O71" s="14" t="str"/>
      <x:c r="P71" s="14" t="str">
        <x:v>uploads/・processed/設定とMultipart中止が有効</x:v>
      </x:c>
      <x:c r="Q71" s="14" t="str"/>
      <x:c r="R71" s="14" t="str">
        <x:v>容量・PUT/GET・転送</x:v>
      </x:c>
      <x:c r="S71" s="14" t="str">
        <x:v>ユーザーprefix、署名URL以外を拒否</x:v>
      </x:c>
      <x:c r="T71" s="14" t="str">
        <x:v>multipart中止、全version削除後にdestroy</x:v>
      </x:c>
      <x:c r="U71" s="14" t="str">
        <x:v>Step 12-14</x:v>
      </x:c>
      <x:c r="V71" s="84" t="str">
        <x:v>未着手</x:v>
      </x:c>
      <x:c r="W71" s="14" t="str">
        <x:v>成功条件確認</x:v>
      </x:c>
    </x:row>
    <x:row r="72" ht="58" customHeight="1">
      <x:c r="A72" s="14" t="n">
        <x:v>5</x:v>
      </x:c>
      <x:c r="B72" s="14" t="n">
        <x:v>11</x:v>
      </x:c>
      <x:c r="C72" s="14" t="str">
        <x:v>ストレージ</x:v>
      </x:c>
      <x:c r="D72" s="14" t="str">
        <x:v>Amazon S3（Audio）</x:v>
      </x:c>
      <x:c r="E72" s="14" t="str">
        <x:v>ユーザー音声と変換結果を非公開保存</x:v>
      </x:c>
      <x:c r="F72" s="14" t="str">
        <x:v>Step 4</x:v>
      </x:c>
      <x:c r="G72" s="14" t="str">
        <x:v>infra/environments/dev/10-storage-queue</x:v>
      </x:c>
      <x:c r="H72" s="14" t="str">
        <x:v>s3_audio.tf, variables.tf, outputs.tf</x:v>
      </x:c>
      <x:c r="I72" s="14" t="str">
        <x:v>aws_s3_bucket, public_access_block, versioning, encryption, lifecycle_configuration, cors_configuration</x:v>
      </x:c>
      <x:c r="J72" s="14" t="str">
        <x:v>audio-storage</x:v>
      </x:c>
      <x:c r="K72" s="14" t="str">
        <x:v>CORS method/header、lifecycle filter、bucket policy</x:v>
      </x:c>
      <x:c r="L72" s="14" t="str">
        <x:v>abort_incomplete_multipart_upload_days=1、CORS origin、lifecycle</x:v>
      </x:c>
      <x:c r="M72" s="14" t="str"/>
      <x:c r="N72" s="14" t="str"/>
      <x:c r="O72" s="14" t="str"/>
      <x:c r="P72" s="14" t="str"/>
      <x:c r="Q72" s="14" t="str">
        <x:v>CORS method/header、lifecycle filter、bucket policy</x:v>
      </x:c>
      <x:c r="R72" s="14" t="str">
        <x:v>容量・PUT/GET・転送</x:v>
      </x:c>
      <x:c r="S72" s="14" t="str">
        <x:v>ユーザーprefix、署名URL以外を拒否</x:v>
      </x:c>
      <x:c r="T72" s="14" t="str">
        <x:v>multipart中止、全version削除後にdestroy</x:v>
      </x:c>
      <x:c r="U72" s="14" t="str">
        <x:v>Step 12-14</x:v>
      </x:c>
      <x:c r="V72" s="84" t="str">
        <x:v>未着手</x:v>
      </x:c>
      <x:c r="W72" s="14" t="str">
        <x:v>失敗時確認</x:v>
      </x:c>
    </x:row>
    <x:row r="73" ht="58" customHeight="1">
      <x:c r="A73" s="14" t="n">
        <x:v>5</x:v>
      </x:c>
      <x:c r="B73" s="14" t="n">
        <x:v>12</x:v>
      </x:c>
      <x:c r="C73" s="14" t="str">
        <x:v>ストレージ</x:v>
      </x:c>
      <x:c r="D73" s="14" t="str">
        <x:v>Amazon S3（Audio）</x:v>
      </x:c>
      <x:c r="E73" s="14" t="str">
        <x:v>ユーザー音声と変換結果を非公開保存</x:v>
      </x:c>
      <x:c r="F73" s="14" t="str">
        <x:v>Step 4</x:v>
      </x:c>
      <x:c r="G73" s="14" t="str">
        <x:v>infra/environments/dev/10-storage-queue</x:v>
      </x:c>
      <x:c r="H73" s="14" t="str">
        <x:v>s3_audio.tf, variables.tf, outputs.tf</x:v>
      </x:c>
      <x:c r="I73" s="14" t="str">
        <x:v>aws_s3_bucket, public_access_block, versioning, encryption, lifecycle_configuration, cors_configuration</x:v>
      </x:c>
      <x:c r="J73" s="14" t="str">
        <x:v>audio-storage</x:v>
      </x:c>
      <x:c r="K73" s="14" t="str">
        <x:v>削除: multipart中止、全version削除後にdestroy / 次: Step 12-14</x:v>
      </x:c>
      <x:c r="L73" s="14" t="str">
        <x:v>abort_incomplete_multipart_upload_days=1、CORS origin、lifecycle</x:v>
      </x:c>
      <x:c r="M73" s="14" t="str"/>
      <x:c r="N73" s="14" t="str"/>
      <x:c r="O73" s="14" t="str"/>
      <x:c r="P73" s="14" t="str"/>
      <x:c r="Q73" s="14" t="str"/>
      <x:c r="R73" s="14" t="str">
        <x:v>容量・PUT/GET・転送</x:v>
      </x:c>
      <x:c r="S73" s="14" t="str">
        <x:v>ユーザーprefix、署名URL以外を拒否</x:v>
      </x:c>
      <x:c r="T73" s="14" t="str">
        <x:v>multipart中止、全version削除後にdestroy</x:v>
      </x:c>
      <x:c r="U73" s="14" t="str">
        <x:v>Step 12-14</x:v>
      </x:c>
      <x:c r="V73" s="84" t="str">
        <x:v>未着手</x:v>
      </x:c>
      <x:c r="W73" s="14" t="str">
        <x:v>依存・削除確認</x:v>
      </x:c>
    </x:row>
    <x:row r="74" ht="58" customHeight="1">
      <x:c r="A74" s="14" t="n">
        <x:v>6</x:v>
      </x:c>
      <x:c r="B74" s="14" t="n">
        <x:v>1</x:v>
      </x:c>
      <x:c r="C74" s="14" t="str">
        <x:v>非同期基盤</x:v>
      </x:c>
      <x:c r="D74" s="14" t="str">
        <x:v>Amazon SQS / DLQ</x:v>
      </x:c>
      <x:c r="E74" s="14" t="str">
        <x:v>音声処理をAPIから分離</x:v>
      </x:c>
      <x:c r="F74" s="14" t="str">
        <x:v>Step 5</x:v>
      </x:c>
      <x:c r="G74" s="14" t="str">
        <x:v>infra/environments/dev/10-storage-queue</x:v>
      </x:c>
      <x:c r="H74" s="14" t="str">
        <x:v>sqs.tf, variables.tf, outputs.tf</x:v>
      </x:c>
      <x:c r="I74" s="14" t="str">
        <x:v>aws_sqs_queue</x:v>
      </x:c>
      <x:c r="J74" s="14" t="str">
        <x:v>queue</x:v>
      </x:c>
      <x:c r="K74" s="14" t="str">
        <x:v>対象ファイルを作成し、resourceとmoduleの責務を分ける。</x:v>
      </x:c>
      <x:c r="L74" s="14" t="str">
        <x:v>visibility_timeout_seconds、message_retention_seconds、max_receive_count=3-5</x:v>
      </x:c>
      <x:c r="M74" s="14" t="str"/>
      <x:c r="N74" s="14" t="str"/>
      <x:c r="O74" s="14" t="str"/>
      <x:c r="P74" s="14" t="str"/>
      <x:c r="Q74" s="14" t="str"/>
      <x:c r="R74" s="14" t="str">
        <x:v>request数のみ</x:v>
      </x:c>
      <x:c r="S74" s="14" t="str">
        <x:v>S3とWorker Roleのみに送受信許可</x:v>
      </x:c>
      <x:c r="T74" s="14" t="str">
        <x:v>残message確認後にdestroy</x:v>
      </x:c>
      <x:c r="U74" s="14" t="str">
        <x:v>Step 13-14</x:v>
      </x:c>
      <x:c r="V74" s="84" t="str">
        <x:v>未着手</x:v>
      </x:c>
      <x:c r="W74" s="14" t="str">
        <x:v>対象ファイルの準備</x:v>
      </x:c>
    </x:row>
    <x:row r="75" ht="58" customHeight="1">
      <x:c r="A75" s="14" t="n">
        <x:v>6</x:v>
      </x:c>
      <x:c r="B75" s="14" t="n">
        <x:v>2</x:v>
      </x:c>
      <x:c r="C75" s="14" t="str">
        <x:v>非同期基盤</x:v>
      </x:c>
      <x:c r="D75" s="14" t="str">
        <x:v>Amazon SQS / DLQ</x:v>
      </x:c>
      <x:c r="E75" s="14" t="str">
        <x:v>音声処理をAPIから分離</x:v>
      </x:c>
      <x:c r="F75" s="14" t="str">
        <x:v>Step 5</x:v>
      </x:c>
      <x:c r="G75" s="14" t="str">
        <x:v>infra/environments/dev/10-storage-queue</x:v>
      </x:c>
      <x:c r="H75" s="14" t="str">
        <x:v>sqs.tf, variables.tf, outputs.tf</x:v>
      </x:c>
      <x:c r="I75" s="14" t="str">
        <x:v>aws_sqs_queue</x:v>
      </x:c>
      <x:c r="J75" s="14" t="str">
        <x:v>queue</x:v>
      </x:c>
      <x:c r="K75" s="14" t="str">
        <x:v>非機密値だけをtfvarsまたは環境変数へ設定する。</x:v>
      </x:c>
      <x:c r="L75" s="14" t="str">
        <x:v>visibility_timeout_seconds、message_retention_seconds、max_receive_count=3-5</x:v>
      </x:c>
      <x:c r="M75" s="14" t="str"/>
      <x:c r="N75" s="14" t="str"/>
      <x:c r="O75" s="14" t="str"/>
      <x:c r="P75" s="14" t="str"/>
      <x:c r="Q75" s="14" t="str"/>
      <x:c r="R75" s="14" t="str">
        <x:v>request数のみ</x:v>
      </x:c>
      <x:c r="S75" s="14" t="str">
        <x:v>S3とWorker Roleのみに送受信許可</x:v>
      </x:c>
      <x:c r="T75" s="14" t="str">
        <x:v>残message確認後にdestroy</x:v>
      </x:c>
      <x:c r="U75" s="14" t="str">
        <x:v>Step 13-14</x:v>
      </x:c>
      <x:c r="V75" s="84" t="str">
        <x:v>未着手</x:v>
      </x:c>
      <x:c r="W75" s="14" t="str">
        <x:v>設定値の準備</x:v>
      </x:c>
    </x:row>
    <x:row r="76" ht="58" customHeight="1">
      <x:c r="A76" s="14" t="n">
        <x:v>6</x:v>
      </x:c>
      <x:c r="B76" s="14" t="n">
        <x:v>3</x:v>
      </x:c>
      <x:c r="C76" s="14" t="str">
        <x:v>非同期基盤</x:v>
      </x:c>
      <x:c r="D76" s="14" t="str">
        <x:v>Amazon SQS / DLQ</x:v>
      </x:c>
      <x:c r="E76" s="14" t="str">
        <x:v>音声処理をAPIから分離</x:v>
      </x:c>
      <x:c r="F76" s="14" t="str">
        <x:v>Step 5</x:v>
      </x:c>
      <x:c r="G76" s="14" t="str">
        <x:v>infra/environments/dev/10-storage-queue</x:v>
      </x:c>
      <x:c r="H76" s="14" t="str">
        <x:v>sqs.tf, variables.tf, outputs.tf</x:v>
      </x:c>
      <x:c r="I76" s="14" t="str">
        <x:v>aws_sqs_queue</x:v>
      </x:c>
      <x:c r="J76" s="14" t="str">
        <x:v>queue</x:v>
      </x:c>
      <x:c r="K76" s="14" t="str">
        <x:v>HCLファイルを自動整形する。</x:v>
      </x:c>
      <x:c r="L76" s="14" t="str">
        <x:v>visibility_timeout_seconds、message_retention_seconds、max_receive_count=3-5</x:v>
      </x:c>
      <x:c r="M76" s="14" t="str">
        <x:v>`terraform fmt -recursive`</x:v>
      </x:c>
      <x:c r="N76" s="14" t="str"/>
      <x:c r="O76" s="14" t="str"/>
      <x:c r="P76" s="14" t="str"/>
      <x:c r="Q76" s="14" t="str"/>
      <x:c r="R76" s="14" t="str">
        <x:v>request数のみ</x:v>
      </x:c>
      <x:c r="S76" s="14" t="str">
        <x:v>S3とWorker Roleのみに送受信許可</x:v>
      </x:c>
      <x:c r="T76" s="14" t="str">
        <x:v>残message確認後にdestroy</x:v>
      </x:c>
      <x:c r="U76" s="14" t="str">
        <x:v>Step 13-14</x:v>
      </x:c>
      <x:c r="V76" s="84" t="str">
        <x:v>未着手</x:v>
      </x:c>
      <x:c r="W76" s="14" t="str">
        <x:v>terraform fmt</x:v>
      </x:c>
    </x:row>
    <x:row r="77" ht="58" customHeight="1">
      <x:c r="A77" s="14" t="n">
        <x:v>6</x:v>
      </x:c>
      <x:c r="B77" s="14" t="n">
        <x:v>4</x:v>
      </x:c>
      <x:c r="C77" s="14" t="str">
        <x:v>非同期基盤</x:v>
      </x:c>
      <x:c r="D77" s="14" t="str">
        <x:v>Amazon SQS / DLQ</x:v>
      </x:c>
      <x:c r="E77" s="14" t="str">
        <x:v>音声処理をAPIから分離</x:v>
      </x:c>
      <x:c r="F77" s="14" t="str">
        <x:v>Step 5</x:v>
      </x:c>
      <x:c r="G77" s="14" t="str">
        <x:v>infra/environments/dev/10-storage-queue</x:v>
      </x:c>
      <x:c r="H77" s="14" t="str">
        <x:v>sqs.tf, variables.tf, outputs.tf</x:v>
      </x:c>
      <x:c r="I77" s="14" t="str">
        <x:v>aws_sqs_queue</x:v>
      </x:c>
      <x:c r="J77" s="14" t="str">
        <x:v>queue</x:v>
      </x:c>
      <x:c r="K77" s="14" t="str">
        <x:v>backend、Provider、moduleを初期化する。</x:v>
      </x:c>
      <x:c r="L77" s="14" t="str">
        <x:v>visibility_timeout_seconds、message_retention_seconds、max_receive_count=3-5</x:v>
      </x:c>
      <x:c r="M77" s="14" t="str">
        <x:v>同一stack。変更がなければ不要。</x:v>
      </x:c>
      <x:c r="N77" s="14" t="str"/>
      <x:c r="O77" s="14" t="str"/>
      <x:c r="P77" s="14" t="str"/>
      <x:c r="Q77" s="14" t="str"/>
      <x:c r="R77" s="14" t="str">
        <x:v>request数のみ</x:v>
      </x:c>
      <x:c r="S77" s="14" t="str">
        <x:v>S3とWorker Roleのみに送受信許可</x:v>
      </x:c>
      <x:c r="T77" s="14" t="str">
        <x:v>残message確認後にdestroy</x:v>
      </x:c>
      <x:c r="U77" s="14" t="str">
        <x:v>Step 13-14</x:v>
      </x:c>
      <x:c r="V77" s="84" t="str">
        <x:v>未着手</x:v>
      </x:c>
      <x:c r="W77" s="14" t="str">
        <x:v>terraform init</x:v>
      </x:c>
    </x:row>
    <x:row r="78" ht="58" customHeight="1">
      <x:c r="A78" s="14" t="n">
        <x:v>6</x:v>
      </x:c>
      <x:c r="B78" s="14" t="n">
        <x:v>5</x:v>
      </x:c>
      <x:c r="C78" s="14" t="str">
        <x:v>非同期基盤</x:v>
      </x:c>
      <x:c r="D78" s="14" t="str">
        <x:v>Amazon SQS / DLQ</x:v>
      </x:c>
      <x:c r="E78" s="14" t="str">
        <x:v>音声処理をAPIから分離</x:v>
      </x:c>
      <x:c r="F78" s="14" t="str">
        <x:v>Step 5</x:v>
      </x:c>
      <x:c r="G78" s="14" t="str">
        <x:v>infra/environments/dev/10-storage-queue</x:v>
      </x:c>
      <x:c r="H78" s="14" t="str">
        <x:v>sqs.tf, variables.tf, outputs.tf</x:v>
      </x:c>
      <x:c r="I78" s="14" t="str">
        <x:v>aws_sqs_queue</x:v>
      </x:c>
      <x:c r="J78" s="14" t="str">
        <x:v>queue</x:v>
      </x:c>
      <x:c r="K78" s="14" t="str">
        <x:v>`terraform validate`</x:v>
      </x:c>
      <x:c r="L78" s="14" t="str">
        <x:v>visibility_timeout_seconds、message_retention_seconds、max_receive_count=3-5</x:v>
      </x:c>
      <x:c r="M78" s="14" t="str">
        <x:v>`terraform validate`</x:v>
      </x:c>
      <x:c r="N78" s="14" t="str"/>
      <x:c r="O78" s="14" t="str"/>
      <x:c r="P78" s="14" t="str"/>
      <x:c r="Q78" s="14" t="str"/>
      <x:c r="R78" s="14" t="str">
        <x:v>request数のみ</x:v>
      </x:c>
      <x:c r="S78" s="14" t="str">
        <x:v>S3とWorker Roleのみに送受信許可</x:v>
      </x:c>
      <x:c r="T78" s="14" t="str">
        <x:v>残message確認後にdestroy</x:v>
      </x:c>
      <x:c r="U78" s="14" t="str">
        <x:v>Step 13-14</x:v>
      </x:c>
      <x:c r="V78" s="84" t="str">
        <x:v>未着手</x:v>
      </x:c>
      <x:c r="W78" s="14" t="str">
        <x:v>terraform validate</x:v>
      </x:c>
    </x:row>
    <x:row r="79" ht="58" customHeight="1">
      <x:c r="A79" s="14" t="n">
        <x:v>6</x:v>
      </x:c>
      <x:c r="B79" s="14" t="n">
        <x:v>6</x:v>
      </x:c>
      <x:c r="C79" s="14" t="str">
        <x:v>非同期基盤</x:v>
      </x:c>
      <x:c r="D79" s="14" t="str">
        <x:v>Amazon SQS / DLQ</x:v>
      </x:c>
      <x:c r="E79" s="14" t="str">
        <x:v>音声処理をAPIから分離</x:v>
      </x:c>
      <x:c r="F79" s="14" t="str">
        <x:v>Step 5</x:v>
      </x:c>
      <x:c r="G79" s="14" t="str">
        <x:v>infra/environments/dev/10-storage-queue</x:v>
      </x:c>
      <x:c r="H79" s="14" t="str">
        <x:v>sqs.tf, variables.tf, outputs.tf</x:v>
      </x:c>
      <x:c r="I79" s="14" t="str">
        <x:v>aws_sqs_queue</x:v>
      </x:c>
      <x:c r="J79" s="14" t="str">
        <x:v>queue</x:v>
      </x:c>
      <x:c r="K79" s="14" t="str">
        <x:v>`terraform plan -out=tfplan`</x:v>
      </x:c>
      <x:c r="L79" s="14" t="str">
        <x:v>visibility_timeout_seconds、message_retention_seconds、max_receive_count=3-5</x:v>
      </x:c>
      <x:c r="M79" s="14" t="str">
        <x:v>`terraform plan -out=tfplan`</x:v>
      </x:c>
      <x:c r="N79" s="14" t="str"/>
      <x:c r="O79" s="14" t="str"/>
      <x:c r="P79" s="14" t="str"/>
      <x:c r="Q79" s="14" t="str"/>
      <x:c r="R79" s="14" t="str">
        <x:v>request数のみ</x:v>
      </x:c>
      <x:c r="S79" s="14" t="str">
        <x:v>S3とWorker Roleのみに送受信許可</x:v>
      </x:c>
      <x:c r="T79" s="14" t="str">
        <x:v>残message確認後にdestroy</x:v>
      </x:c>
      <x:c r="U79" s="14" t="str">
        <x:v>Step 13-14</x:v>
      </x:c>
      <x:c r="V79" s="84" t="str">
        <x:v>未着手</x:v>
      </x:c>
      <x:c r="W79" s="14" t="str">
        <x:v>terraform plan</x:v>
      </x:c>
    </x:row>
    <x:row r="80" ht="58" customHeight="1">
      <x:c r="A80" s="14" t="n">
        <x:v>6</x:v>
      </x:c>
      <x:c r="B80" s="14" t="n">
        <x:v>7</x:v>
      </x:c>
      <x:c r="C80" s="14" t="str">
        <x:v>非同期基盤</x:v>
      </x:c>
      <x:c r="D80" s="14" t="str">
        <x:v>Amazon SQS / DLQ</x:v>
      </x:c>
      <x:c r="E80" s="14" t="str">
        <x:v>音声処理をAPIから分離</x:v>
      </x:c>
      <x:c r="F80" s="14" t="str">
        <x:v>Step 5</x:v>
      </x:c>
      <x:c r="G80" s="14" t="str">
        <x:v>infra/environments/dev/10-storage-queue</x:v>
      </x:c>
      <x:c r="H80" s="14" t="str">
        <x:v>sqs.tf, variables.tf, outputs.tf</x:v>
      </x:c>
      <x:c r="I80" s="14" t="str">
        <x:v>aws_sqs_queue</x:v>
      </x:c>
      <x:c r="J80" s="14" t="str">
        <x:v>queue</x:v>
      </x:c>
      <x:c r="K80" s="14" t="str">
        <x:v>`terraform apply tfplan`</x:v>
      </x:c>
      <x:c r="L80" s="14" t="str">
        <x:v>visibility_timeout_seconds、message_retention_seconds、max_receive_count=3-5</x:v>
      </x:c>
      <x:c r="M80" s="14" t="str">
        <x:v>`terraform apply tfplan`</x:v>
      </x:c>
      <x:c r="N80" s="14" t="str"/>
      <x:c r="O80" s="14" t="str"/>
      <x:c r="P80" s="14" t="str"/>
      <x:c r="Q80" s="14" t="str"/>
      <x:c r="R80" s="14" t="str">
        <x:v>request数のみ</x:v>
      </x:c>
      <x:c r="S80" s="14" t="str">
        <x:v>S3とWorker Roleのみに送受信許可</x:v>
      </x:c>
      <x:c r="T80" s="14" t="str">
        <x:v>残message確認後にdestroy</x:v>
      </x:c>
      <x:c r="U80" s="14" t="str">
        <x:v>Step 13-14</x:v>
      </x:c>
      <x:c r="V80" s="84" t="str">
        <x:v>未着手</x:v>
      </x:c>
      <x:c r="W80" s="14" t="str">
        <x:v>terraform apply</x:v>
      </x:c>
    </x:row>
    <x:row r="81" ht="58" customHeight="1">
      <x:c r="A81" s="14" t="n">
        <x:v>6</x:v>
      </x:c>
      <x:c r="B81" s="14" t="n">
        <x:v>8</x:v>
      </x:c>
      <x:c r="C81" s="14" t="str">
        <x:v>非同期基盤</x:v>
      </x:c>
      <x:c r="D81" s="14" t="str">
        <x:v>Amazon SQS / DLQ</x:v>
      </x:c>
      <x:c r="E81" s="14" t="str">
        <x:v>音声処理をAPIから分離</x:v>
      </x:c>
      <x:c r="F81" s="14" t="str">
        <x:v>Step 5</x:v>
      </x:c>
      <x:c r="G81" s="14" t="str">
        <x:v>infra/environments/dev/10-storage-queue</x:v>
      </x:c>
      <x:c r="H81" s="14" t="str">
        <x:v>sqs.tf, variables.tf, outputs.tf</x:v>
      </x:c>
      <x:c r="I81" s="14" t="str">
        <x:v>aws_sqs_queue</x:v>
      </x:c>
      <x:c r="J81" s="14" t="str">
        <x:v>queue</x:v>
      </x:c>
      <x:c r="K81" s="14" t="str">
        <x:v>SQS ConsoleでMain QueueとDLQ、redrive policyを確認</x:v>
      </x:c>
      <x:c r="L81" s="14" t="str">
        <x:v>visibility_timeout_seconds、message_retention_seconds、max_receive_count=3-5</x:v>
      </x:c>
      <x:c r="M81" s="14" t="str"/>
      <x:c r="N81" s="14" t="str">
        <x:v>SQS ConsoleでMain QueueとDLQ、redrive policyを確認</x:v>
      </x:c>
      <x:c r="O81" s="14" t="str"/>
      <x:c r="P81" s="14" t="str"/>
      <x:c r="Q81" s="14" t="str"/>
      <x:c r="R81" s="14" t="str">
        <x:v>request数のみ</x:v>
      </x:c>
      <x:c r="S81" s="14" t="str">
        <x:v>S3とWorker Roleのみに送受信許可</x:v>
      </x:c>
      <x:c r="T81" s="14" t="str">
        <x:v>残message確認後にdestroy</x:v>
      </x:c>
      <x:c r="U81" s="14" t="str">
        <x:v>Step 13-14</x:v>
      </x:c>
      <x:c r="V81" s="84" t="str">
        <x:v>未着手</x:v>
      </x:c>
      <x:c r="W81" s="14" t="str">
        <x:v>AWSリソース確認</x:v>
      </x:c>
    </x:row>
    <x:row r="82" ht="58" customHeight="1">
      <x:c r="A82" s="14" t="n">
        <x:v>6</x:v>
      </x:c>
      <x:c r="B82" s="14" t="n">
        <x:v>9</x:v>
      </x:c>
      <x:c r="C82" s="14" t="str">
        <x:v>非同期基盤</x:v>
      </x:c>
      <x:c r="D82" s="14" t="str">
        <x:v>Amazon SQS / DLQ</x:v>
      </x:c>
      <x:c r="E82" s="14" t="str">
        <x:v>音声処理をAPIから分離</x:v>
      </x:c>
      <x:c r="F82" s="14" t="str">
        <x:v>Step 5</x:v>
      </x:c>
      <x:c r="G82" s="14" t="str">
        <x:v>infra/environments/dev/10-storage-queue</x:v>
      </x:c>
      <x:c r="H82" s="14" t="str">
        <x:v>sqs.tf, variables.tf, outputs.tf</x:v>
      </x:c>
      <x:c r="I82" s="14" t="str">
        <x:v>aws_sqs_queue</x:v>
      </x:c>
      <x:c r="J82" s="14" t="str">
        <x:v>queue</x:v>
      </x:c>
      <x:c r="K82" s="14" t="str">
        <x:v>CLIでsend/receive、失敗を繰り返しDLQ移送</x:v>
      </x:c>
      <x:c r="L82" s="14" t="str">
        <x:v>visibility_timeout_seconds、message_retention_seconds、max_receive_count=3-5</x:v>
      </x:c>
      <x:c r="M82" s="14" t="str"/>
      <x:c r="N82" s="14" t="str"/>
      <x:c r="O82" s="14" t="str">
        <x:v>CLIでsend/receive、失敗を繰り返しDLQ移送</x:v>
      </x:c>
      <x:c r="P82" s="14" t="str"/>
      <x:c r="Q82" s="14" t="str"/>
      <x:c r="R82" s="14" t="str">
        <x:v>request数のみ</x:v>
      </x:c>
      <x:c r="S82" s="14" t="str">
        <x:v>S3とWorker Roleのみに送受信許可</x:v>
      </x:c>
      <x:c r="T82" s="14" t="str">
        <x:v>残message確認後にdestroy</x:v>
      </x:c>
      <x:c r="U82" s="14" t="str">
        <x:v>Step 13-14</x:v>
      </x:c>
      <x:c r="V82" s="84" t="str">
        <x:v>未着手</x:v>
      </x:c>
      <x:c r="W82" s="14" t="str">
        <x:v>疎通・動作確認</x:v>
      </x:c>
    </x:row>
    <x:row r="83" ht="58" customHeight="1">
      <x:c r="A83" s="14" t="n">
        <x:v>6</x:v>
      </x:c>
      <x:c r="B83" s="14" t="n">
        <x:v>10</x:v>
      </x:c>
      <x:c r="C83" s="14" t="str">
        <x:v>非同期基盤</x:v>
      </x:c>
      <x:c r="D83" s="14" t="str">
        <x:v>Amazon SQS / DLQ</x:v>
      </x:c>
      <x:c r="E83" s="14" t="str">
        <x:v>音声処理をAPIから分離</x:v>
      </x:c>
      <x:c r="F83" s="14" t="str">
        <x:v>Step 5</x:v>
      </x:c>
      <x:c r="G83" s="14" t="str">
        <x:v>infra/environments/dev/10-storage-queue</x:v>
      </x:c>
      <x:c r="H83" s="14" t="str">
        <x:v>sqs.tf, variables.tf, outputs.tf</x:v>
      </x:c>
      <x:c r="I83" s="14" t="str">
        <x:v>aws_sqs_queue</x:v>
      </x:c>
      <x:c r="J83" s="14" t="str">
        <x:v>queue</x:v>
      </x:c>
      <x:c r="K83" s="14" t="str">
        <x:v>Main QueueとDLQが作成され、redrive policyが正しい</x:v>
      </x:c>
      <x:c r="L83" s="14" t="str">
        <x:v>visibility_timeout_seconds、message_retention_seconds、max_receive_count=3-5</x:v>
      </x:c>
      <x:c r="M83" s="14" t="str"/>
      <x:c r="N83" s="14" t="str"/>
      <x:c r="O83" s="14" t="str"/>
      <x:c r="P83" s="14" t="str">
        <x:v>Main QueueとDLQが作成され、redrive policyが正しい</x:v>
      </x:c>
      <x:c r="Q83" s="14" t="str"/>
      <x:c r="R83" s="14" t="str">
        <x:v>request数のみ</x:v>
      </x:c>
      <x:c r="S83" s="14" t="str">
        <x:v>S3とWorker Roleのみに送受信許可</x:v>
      </x:c>
      <x:c r="T83" s="14" t="str">
        <x:v>残message確認後にdestroy</x:v>
      </x:c>
      <x:c r="U83" s="14" t="str">
        <x:v>Step 13-14</x:v>
      </x:c>
      <x:c r="V83" s="84" t="str">
        <x:v>未着手</x:v>
      </x:c>
      <x:c r="W83" s="14" t="str">
        <x:v>成功条件確認</x:v>
      </x:c>
    </x:row>
    <x:row r="84" ht="58" customHeight="1">
      <x:c r="A84" s="14" t="n">
        <x:v>6</x:v>
      </x:c>
      <x:c r="B84" s="14" t="n">
        <x:v>11</x:v>
      </x:c>
      <x:c r="C84" s="14" t="str">
        <x:v>非同期基盤</x:v>
      </x:c>
      <x:c r="D84" s="14" t="str">
        <x:v>Amazon SQS / DLQ</x:v>
      </x:c>
      <x:c r="E84" s="14" t="str">
        <x:v>音声処理をAPIから分離</x:v>
      </x:c>
      <x:c r="F84" s="14" t="str">
        <x:v>Step 5</x:v>
      </x:c>
      <x:c r="G84" s="14" t="str">
        <x:v>infra/environments/dev/10-storage-queue</x:v>
      </x:c>
      <x:c r="H84" s="14" t="str">
        <x:v>sqs.tf, variables.tf, outputs.tf</x:v>
      </x:c>
      <x:c r="I84" s="14" t="str">
        <x:v>aws_sqs_queue</x:v>
      </x:c>
      <x:c r="J84" s="14" t="str">
        <x:v>queue</x:v>
      </x:c>
      <x:c r="K84" s="14" t="str">
        <x:v>Queue policy、visibility timeout、KMS、Region</x:v>
      </x:c>
      <x:c r="L84" s="14" t="str">
        <x:v>visibility_timeout_seconds、message_retention_seconds、max_receive_count=3-5</x:v>
      </x:c>
      <x:c r="M84" s="14" t="str"/>
      <x:c r="N84" s="14" t="str"/>
      <x:c r="O84" s="14" t="str"/>
      <x:c r="P84" s="14" t="str"/>
      <x:c r="Q84" s="14" t="str">
        <x:v>Queue policy、visibility timeout、KMS、Region</x:v>
      </x:c>
      <x:c r="R84" s="14" t="str">
        <x:v>request数のみ</x:v>
      </x:c>
      <x:c r="S84" s="14" t="str">
        <x:v>S3とWorker Roleのみに送受信許可</x:v>
      </x:c>
      <x:c r="T84" s="14" t="str">
        <x:v>残message確認後にdestroy</x:v>
      </x:c>
      <x:c r="U84" s="14" t="str">
        <x:v>Step 13-14</x:v>
      </x:c>
      <x:c r="V84" s="84" t="str">
        <x:v>未着手</x:v>
      </x:c>
      <x:c r="W84" s="14" t="str">
        <x:v>失敗時確認</x:v>
      </x:c>
    </x:row>
    <x:row r="85" ht="58" customHeight="1">
      <x:c r="A85" s="14" t="n">
        <x:v>6</x:v>
      </x:c>
      <x:c r="B85" s="14" t="n">
        <x:v>12</x:v>
      </x:c>
      <x:c r="C85" s="14" t="str">
        <x:v>非同期基盤</x:v>
      </x:c>
      <x:c r="D85" s="14" t="str">
        <x:v>Amazon SQS / DLQ</x:v>
      </x:c>
      <x:c r="E85" s="14" t="str">
        <x:v>音声処理をAPIから分離</x:v>
      </x:c>
      <x:c r="F85" s="14" t="str">
        <x:v>Step 5</x:v>
      </x:c>
      <x:c r="G85" s="14" t="str">
        <x:v>infra/environments/dev/10-storage-queue</x:v>
      </x:c>
      <x:c r="H85" s="14" t="str">
        <x:v>sqs.tf, variables.tf, outputs.tf</x:v>
      </x:c>
      <x:c r="I85" s="14" t="str">
        <x:v>aws_sqs_queue</x:v>
      </x:c>
      <x:c r="J85" s="14" t="str">
        <x:v>queue</x:v>
      </x:c>
      <x:c r="K85" s="14" t="str">
        <x:v>削除: 残message確認後にdestroy / 次: Step 13-14</x:v>
      </x:c>
      <x:c r="L85" s="14" t="str">
        <x:v>visibility_timeout_seconds、message_retention_seconds、max_receive_count=3-5</x:v>
      </x:c>
      <x:c r="M85" s="14" t="str"/>
      <x:c r="N85" s="14" t="str"/>
      <x:c r="O85" s="14" t="str"/>
      <x:c r="P85" s="14" t="str"/>
      <x:c r="Q85" s="14" t="str"/>
      <x:c r="R85" s="14" t="str">
        <x:v>request数のみ</x:v>
      </x:c>
      <x:c r="S85" s="14" t="str">
        <x:v>S3とWorker Roleのみに送受信許可</x:v>
      </x:c>
      <x:c r="T85" s="14" t="str">
        <x:v>残message確認後にdestroy</x:v>
      </x:c>
      <x:c r="U85" s="14" t="str">
        <x:v>Step 13-14</x:v>
      </x:c>
      <x:c r="V85" s="84" t="str">
        <x:v>未着手</x:v>
      </x:c>
      <x:c r="W85" s="14" t="str">
        <x:v>依存・削除確認</x:v>
      </x:c>
    </x:row>
    <x:row r="86" ht="58" customHeight="1">
      <x:c r="A86" s="14" t="n">
        <x:v>7</x:v>
      </x:c>
      <x:c r="B86" s="14" t="n">
        <x:v>1</x:v>
      </x:c>
      <x:c r="C86" s="14" t="str">
        <x:v>ランタイム検証</x:v>
      </x:c>
      <x:c r="D86" s="14" t="str">
        <x:v>AWS Lambda</x:v>
      </x:c>
      <x:c r="E86" s="14" t="str">
        <x:v>Java 25ランタイムと配布形式を単体検証</x:v>
      </x:c>
      <x:c r="F86" s="14" t="str">
        <x:v>Step 1</x:v>
      </x:c>
      <x:c r="G86" s="14" t="str">
        <x:v>infra/environments/dev/40-backend</x:v>
      </x:c>
      <x:c r="H86" s="14" t="str">
        <x:v>versions.tf, backend.hcl, providers.tf, lambda_smoke.tf, variables.tf, outputs.tf</x:v>
      </x:c>
      <x:c r="I86" s="14" t="str">
        <x:v>aws_lambda_function, aws_cloudwatch_log_group</x:v>
      </x:c>
      <x:c r="J86" s="14" t="str">
        <x:v>lambda-api</x:v>
      </x:c>
      <x:c r="K86" s="14" t="str">
        <x:v>対象ファイルを作成し、resourceとmoduleの責務を分ける。</x:v>
      </x:c>
      <x:c r="L86" s="14" t="str">
        <x:v>runtime=java25、architectures=[arm64]、memory=512、timeout=30</x:v>
      </x:c>
      <x:c r="M86" s="14" t="str"/>
      <x:c r="N86" s="14" t="str"/>
      <x:c r="O86" s="14" t="str"/>
      <x:c r="P86" s="14" t="str"/>
      <x:c r="Q86" s="14" t="str"/>
      <x:c r="R86" s="14" t="str">
        <x:v>数回実行のみ</x:v>
      </x:c>
      <x:c r="S86" s="14" t="str">
        <x:v>最小権限、環境変数へ秘密を置かない</x:v>
      </x:c>
      <x:c r="T86" s="14" t="str">
        <x:v>smoke functionとlog groupをdestroy</x:v>
      </x:c>
      <x:c r="U86" s="14" t="str">
        <x:v>Step 9、11</x:v>
      </x:c>
      <x:c r="V86" s="84" t="str">
        <x:v>未着手</x:v>
      </x:c>
      <x:c r="W86" s="14" t="str">
        <x:v>対象ファイルの準備</x:v>
      </x:c>
    </x:row>
    <x:row r="87" ht="58" customHeight="1">
      <x:c r="A87" s="14" t="n">
        <x:v>7</x:v>
      </x:c>
      <x:c r="B87" s="14" t="n">
        <x:v>2</x:v>
      </x:c>
      <x:c r="C87" s="14" t="str">
        <x:v>ランタイム検証</x:v>
      </x:c>
      <x:c r="D87" s="14" t="str">
        <x:v>AWS Lambda</x:v>
      </x:c>
      <x:c r="E87" s="14" t="str">
        <x:v>Java 25ランタイムと配布形式を単体検証</x:v>
      </x:c>
      <x:c r="F87" s="14" t="str">
        <x:v>Step 1</x:v>
      </x:c>
      <x:c r="G87" s="14" t="str">
        <x:v>infra/environments/dev/40-backend</x:v>
      </x:c>
      <x:c r="H87" s="14" t="str">
        <x:v>versions.tf, backend.hcl, providers.tf, lambda_smoke.tf, variables.tf, outputs.tf</x:v>
      </x:c>
      <x:c r="I87" s="14" t="str">
        <x:v>aws_lambda_function, aws_cloudwatch_log_group</x:v>
      </x:c>
      <x:c r="J87" s="14" t="str">
        <x:v>lambda-api</x:v>
      </x:c>
      <x:c r="K87" s="14" t="str">
        <x:v>非機密値だけをtfvarsまたは環境変数へ設定する。</x:v>
      </x:c>
      <x:c r="L87" s="14" t="str">
        <x:v>runtime=java25、architectures=[arm64]、memory=512、timeout=30</x:v>
      </x:c>
      <x:c r="M87" s="14" t="str"/>
      <x:c r="N87" s="14" t="str"/>
      <x:c r="O87" s="14" t="str"/>
      <x:c r="P87" s="14" t="str"/>
      <x:c r="Q87" s="14" t="str"/>
      <x:c r="R87" s="14" t="str">
        <x:v>数回実行のみ</x:v>
      </x:c>
      <x:c r="S87" s="14" t="str">
        <x:v>最小権限、環境変数へ秘密を置かない</x:v>
      </x:c>
      <x:c r="T87" s="14" t="str">
        <x:v>smoke functionとlog groupをdestroy</x:v>
      </x:c>
      <x:c r="U87" s="14" t="str">
        <x:v>Step 9、11</x:v>
      </x:c>
      <x:c r="V87" s="84" t="str">
        <x:v>未着手</x:v>
      </x:c>
      <x:c r="W87" s="14" t="str">
        <x:v>設定値の準備</x:v>
      </x:c>
    </x:row>
    <x:row r="88" ht="58" customHeight="1">
      <x:c r="A88" s="14" t="n">
        <x:v>7</x:v>
      </x:c>
      <x:c r="B88" s="14" t="n">
        <x:v>3</x:v>
      </x:c>
      <x:c r="C88" s="14" t="str">
        <x:v>ランタイム検証</x:v>
      </x:c>
      <x:c r="D88" s="14" t="str">
        <x:v>AWS Lambda</x:v>
      </x:c>
      <x:c r="E88" s="14" t="str">
        <x:v>Java 25ランタイムと配布形式を単体検証</x:v>
      </x:c>
      <x:c r="F88" s="14" t="str">
        <x:v>Step 1</x:v>
      </x:c>
      <x:c r="G88" s="14" t="str">
        <x:v>infra/environments/dev/40-backend</x:v>
      </x:c>
      <x:c r="H88" s="14" t="str">
        <x:v>versions.tf, backend.hcl, providers.tf, lambda_smoke.tf, variables.tf, outputs.tf</x:v>
      </x:c>
      <x:c r="I88" s="14" t="str">
        <x:v>aws_lambda_function, aws_cloudwatch_log_group</x:v>
      </x:c>
      <x:c r="J88" s="14" t="str">
        <x:v>lambda-api</x:v>
      </x:c>
      <x:c r="K88" s="14" t="str">
        <x:v>HCLファイルを自動整形する。</x:v>
      </x:c>
      <x:c r="L88" s="14" t="str">
        <x:v>runtime=java25、architectures=[arm64]、memory=512、timeout=30</x:v>
      </x:c>
      <x:c r="M88" s="14" t="str">
        <x:v>`terraform fmt -recursive`</x:v>
      </x:c>
      <x:c r="N88" s="14" t="str"/>
      <x:c r="O88" s="14" t="str"/>
      <x:c r="P88" s="14" t="str"/>
      <x:c r="Q88" s="14" t="str"/>
      <x:c r="R88" s="14" t="str">
        <x:v>数回実行のみ</x:v>
      </x:c>
      <x:c r="S88" s="14" t="str">
        <x:v>最小権限、環境変数へ秘密を置かない</x:v>
      </x:c>
      <x:c r="T88" s="14" t="str">
        <x:v>smoke functionとlog groupをdestroy</x:v>
      </x:c>
      <x:c r="U88" s="14" t="str">
        <x:v>Step 9、11</x:v>
      </x:c>
      <x:c r="V88" s="84" t="str">
        <x:v>未着手</x:v>
      </x:c>
      <x:c r="W88" s="14" t="str">
        <x:v>terraform fmt</x:v>
      </x:c>
    </x:row>
    <x:row r="89" ht="58" customHeight="1">
      <x:c r="A89" s="14" t="n">
        <x:v>7</x:v>
      </x:c>
      <x:c r="B89" s="14" t="n">
        <x:v>4</x:v>
      </x:c>
      <x:c r="C89" s="14" t="str">
        <x:v>ランタイム検証</x:v>
      </x:c>
      <x:c r="D89" s="14" t="str">
        <x:v>AWS Lambda</x:v>
      </x:c>
      <x:c r="E89" s="14" t="str">
        <x:v>Java 25ランタイムと配布形式を単体検証</x:v>
      </x:c>
      <x:c r="F89" s="14" t="str">
        <x:v>Step 1</x:v>
      </x:c>
      <x:c r="G89" s="14" t="str">
        <x:v>infra/environments/dev/40-backend</x:v>
      </x:c>
      <x:c r="H89" s="14" t="str">
        <x:v>versions.tf, backend.hcl, providers.tf, lambda_smoke.tf, variables.tf, outputs.tf</x:v>
      </x:c>
      <x:c r="I89" s="14" t="str">
        <x:v>aws_lambda_function, aws_cloudwatch_log_group</x:v>
      </x:c>
      <x:c r="J89" s="14" t="str">
        <x:v>lambda-api</x:v>
      </x:c>
      <x:c r="K89" s="14" t="str">
        <x:v>backend、Provider、moduleを初期化する。</x:v>
      </x:c>
      <x:c r="L89" s="14" t="str">
        <x:v>runtime=java25、architectures=[arm64]、memory=512、timeout=30</x:v>
      </x:c>
      <x:c r="M89" s="14" t="str">
        <x:v>新root stackのためinit必要。</x:v>
      </x:c>
      <x:c r="N89" s="14" t="str"/>
      <x:c r="O89" s="14" t="str"/>
      <x:c r="P89" s="14" t="str"/>
      <x:c r="Q89" s="14" t="str"/>
      <x:c r="R89" s="14" t="str">
        <x:v>数回実行のみ</x:v>
      </x:c>
      <x:c r="S89" s="14" t="str">
        <x:v>最小権限、環境変数へ秘密を置かない</x:v>
      </x:c>
      <x:c r="T89" s="14" t="str">
        <x:v>smoke functionとlog groupをdestroy</x:v>
      </x:c>
      <x:c r="U89" s="14" t="str">
        <x:v>Step 9、11</x:v>
      </x:c>
      <x:c r="V89" s="84" t="str">
        <x:v>未着手</x:v>
      </x:c>
      <x:c r="W89" s="14" t="str">
        <x:v>terraform init</x:v>
      </x:c>
    </x:row>
    <x:row r="90" ht="58" customHeight="1">
      <x:c r="A90" s="14" t="n">
        <x:v>7</x:v>
      </x:c>
      <x:c r="B90" s="14" t="n">
        <x:v>5</x:v>
      </x:c>
      <x:c r="C90" s="14" t="str">
        <x:v>ランタイム検証</x:v>
      </x:c>
      <x:c r="D90" s="14" t="str">
        <x:v>AWS Lambda</x:v>
      </x:c>
      <x:c r="E90" s="14" t="str">
        <x:v>Java 25ランタイムと配布形式を単体検証</x:v>
      </x:c>
      <x:c r="F90" s="14" t="str">
        <x:v>Step 1</x:v>
      </x:c>
      <x:c r="G90" s="14" t="str">
        <x:v>infra/environments/dev/40-backend</x:v>
      </x:c>
      <x:c r="H90" s="14" t="str">
        <x:v>versions.tf, backend.hcl, providers.tf, lambda_smoke.tf, variables.tf, outputs.tf</x:v>
      </x:c>
      <x:c r="I90" s="14" t="str">
        <x:v>aws_lambda_function, aws_cloudwatch_log_group</x:v>
      </x:c>
      <x:c r="J90" s="14" t="str">
        <x:v>lambda-api</x:v>
      </x:c>
      <x:c r="K90" s="14" t="str">
        <x:v>`terraform validate`</x:v>
      </x:c>
      <x:c r="L90" s="14" t="str">
        <x:v>runtime=java25、architectures=[arm64]、memory=512、timeout=30</x:v>
      </x:c>
      <x:c r="M90" s="14" t="str">
        <x:v>`terraform validate`</x:v>
      </x:c>
      <x:c r="N90" s="14" t="str"/>
      <x:c r="O90" s="14" t="str"/>
      <x:c r="P90" s="14" t="str"/>
      <x:c r="Q90" s="14" t="str"/>
      <x:c r="R90" s="14" t="str">
        <x:v>数回実行のみ</x:v>
      </x:c>
      <x:c r="S90" s="14" t="str">
        <x:v>最小権限、環境変数へ秘密を置かない</x:v>
      </x:c>
      <x:c r="T90" s="14" t="str">
        <x:v>smoke functionとlog groupをdestroy</x:v>
      </x:c>
      <x:c r="U90" s="14" t="str">
        <x:v>Step 9、11</x:v>
      </x:c>
      <x:c r="V90" s="84" t="str">
        <x:v>未着手</x:v>
      </x:c>
      <x:c r="W90" s="14" t="str">
        <x:v>terraform validate</x:v>
      </x:c>
    </x:row>
    <x:row r="91" ht="58" customHeight="1">
      <x:c r="A91" s="14" t="n">
        <x:v>7</x:v>
      </x:c>
      <x:c r="B91" s="14" t="n">
        <x:v>6</x:v>
      </x:c>
      <x:c r="C91" s="14" t="str">
        <x:v>ランタイム検証</x:v>
      </x:c>
      <x:c r="D91" s="14" t="str">
        <x:v>AWS Lambda</x:v>
      </x:c>
      <x:c r="E91" s="14" t="str">
        <x:v>Java 25ランタイムと配布形式を単体検証</x:v>
      </x:c>
      <x:c r="F91" s="14" t="str">
        <x:v>Step 1</x:v>
      </x:c>
      <x:c r="G91" s="14" t="str">
        <x:v>infra/environments/dev/40-backend</x:v>
      </x:c>
      <x:c r="H91" s="14" t="str">
        <x:v>versions.tf, backend.hcl, providers.tf, lambda_smoke.tf, variables.tf, outputs.tf</x:v>
      </x:c>
      <x:c r="I91" s="14" t="str">
        <x:v>aws_lambda_function, aws_cloudwatch_log_group</x:v>
      </x:c>
      <x:c r="J91" s="14" t="str">
        <x:v>lambda-api</x:v>
      </x:c>
      <x:c r="K91" s="14" t="str">
        <x:v>`terraform plan -out=tfplan`</x:v>
      </x:c>
      <x:c r="L91" s="14" t="str">
        <x:v>runtime=java25、architectures=[arm64]、memory=512、timeout=30</x:v>
      </x:c>
      <x:c r="M91" s="14" t="str">
        <x:v>`terraform plan -out=tfplan`</x:v>
      </x:c>
      <x:c r="N91" s="14" t="str"/>
      <x:c r="O91" s="14" t="str"/>
      <x:c r="P91" s="14" t="str"/>
      <x:c r="Q91" s="14" t="str"/>
      <x:c r="R91" s="14" t="str">
        <x:v>数回実行のみ</x:v>
      </x:c>
      <x:c r="S91" s="14" t="str">
        <x:v>最小権限、環境変数へ秘密を置かない</x:v>
      </x:c>
      <x:c r="T91" s="14" t="str">
        <x:v>smoke functionとlog groupをdestroy</x:v>
      </x:c>
      <x:c r="U91" s="14" t="str">
        <x:v>Step 9、11</x:v>
      </x:c>
      <x:c r="V91" s="84" t="str">
        <x:v>未着手</x:v>
      </x:c>
      <x:c r="W91" s="14" t="str">
        <x:v>terraform plan</x:v>
      </x:c>
    </x:row>
    <x:row r="92" ht="58" customHeight="1">
      <x:c r="A92" s="14" t="n">
        <x:v>7</x:v>
      </x:c>
      <x:c r="B92" s="14" t="n">
        <x:v>7</x:v>
      </x:c>
      <x:c r="C92" s="14" t="str">
        <x:v>ランタイム検証</x:v>
      </x:c>
      <x:c r="D92" s="14" t="str">
        <x:v>AWS Lambda</x:v>
      </x:c>
      <x:c r="E92" s="14" t="str">
        <x:v>Java 25ランタイムと配布形式を単体検証</x:v>
      </x:c>
      <x:c r="F92" s="14" t="str">
        <x:v>Step 1</x:v>
      </x:c>
      <x:c r="G92" s="14" t="str">
        <x:v>infra/environments/dev/40-backend</x:v>
      </x:c>
      <x:c r="H92" s="14" t="str">
        <x:v>versions.tf, backend.hcl, providers.tf, lambda_smoke.tf, variables.tf, outputs.tf</x:v>
      </x:c>
      <x:c r="I92" s="14" t="str">
        <x:v>aws_lambda_function, aws_cloudwatch_log_group</x:v>
      </x:c>
      <x:c r="J92" s="14" t="str">
        <x:v>lambda-api</x:v>
      </x:c>
      <x:c r="K92" s="14" t="str">
        <x:v>`terraform apply tfplan`</x:v>
      </x:c>
      <x:c r="L92" s="14" t="str">
        <x:v>runtime=java25、architectures=[arm64]、memory=512、timeout=30</x:v>
      </x:c>
      <x:c r="M92" s="14" t="str">
        <x:v>`terraform apply tfplan`</x:v>
      </x:c>
      <x:c r="N92" s="14" t="str"/>
      <x:c r="O92" s="14" t="str"/>
      <x:c r="P92" s="14" t="str"/>
      <x:c r="Q92" s="14" t="str"/>
      <x:c r="R92" s="14" t="str">
        <x:v>数回実行のみ</x:v>
      </x:c>
      <x:c r="S92" s="14" t="str">
        <x:v>最小権限、環境変数へ秘密を置かない</x:v>
      </x:c>
      <x:c r="T92" s="14" t="str">
        <x:v>smoke functionとlog groupをdestroy</x:v>
      </x:c>
      <x:c r="U92" s="14" t="str">
        <x:v>Step 9、11</x:v>
      </x:c>
      <x:c r="V92" s="84" t="str">
        <x:v>未着手</x:v>
      </x:c>
      <x:c r="W92" s="14" t="str">
        <x:v>terraform apply</x:v>
      </x:c>
    </x:row>
    <x:row r="93" ht="58" customHeight="1">
      <x:c r="A93" s="14" t="n">
        <x:v>7</x:v>
      </x:c>
      <x:c r="B93" s="14" t="n">
        <x:v>8</x:v>
      </x:c>
      <x:c r="C93" s="14" t="str">
        <x:v>ランタイム検証</x:v>
      </x:c>
      <x:c r="D93" s="14" t="str">
        <x:v>AWS Lambda</x:v>
      </x:c>
      <x:c r="E93" s="14" t="str">
        <x:v>Java 25ランタイムと配布形式を単体検証</x:v>
      </x:c>
      <x:c r="F93" s="14" t="str">
        <x:v>Step 1</x:v>
      </x:c>
      <x:c r="G93" s="14" t="str">
        <x:v>infra/environments/dev/40-backend</x:v>
      </x:c>
      <x:c r="H93" s="14" t="str">
        <x:v>versions.tf, backend.hcl, providers.tf, lambda_smoke.tf, variables.tf, outputs.tf</x:v>
      </x:c>
      <x:c r="I93" s="14" t="str">
        <x:v>aws_lambda_function, aws_cloudwatch_log_group</x:v>
      </x:c>
      <x:c r="J93" s="14" t="str">
        <x:v>lambda-api</x:v>
      </x:c>
      <x:c r="K93" s="14" t="str">
        <x:v>Lambda Consoleでruntime/architecture/versionを確認</x:v>
      </x:c>
      <x:c r="L93" s="14" t="str">
        <x:v>runtime=java25、architectures=[arm64]、memory=512、timeout=30</x:v>
      </x:c>
      <x:c r="M93" s="14" t="str"/>
      <x:c r="N93" s="14" t="str">
        <x:v>Lambda Consoleでruntime/architecture/versionを確認</x:v>
      </x:c>
      <x:c r="O93" s="14" t="str"/>
      <x:c r="P93" s="14" t="str"/>
      <x:c r="Q93" s="14" t="str"/>
      <x:c r="R93" s="14" t="str">
        <x:v>数回実行のみ</x:v>
      </x:c>
      <x:c r="S93" s="14" t="str">
        <x:v>最小権限、環境変数へ秘密を置かない</x:v>
      </x:c>
      <x:c r="T93" s="14" t="str">
        <x:v>smoke functionとlog groupをdestroy</x:v>
      </x:c>
      <x:c r="U93" s="14" t="str">
        <x:v>Step 9、11</x:v>
      </x:c>
      <x:c r="V93" s="84" t="str">
        <x:v>未着手</x:v>
      </x:c>
      <x:c r="W93" s="14" t="str">
        <x:v>AWSリソース確認</x:v>
      </x:c>
    </x:row>
    <x:row r="94" ht="58" customHeight="1">
      <x:c r="A94" s="14" t="n">
        <x:v>7</x:v>
      </x:c>
      <x:c r="B94" s="14" t="n">
        <x:v>9</x:v>
      </x:c>
      <x:c r="C94" s="14" t="str">
        <x:v>ランタイム検証</x:v>
      </x:c>
      <x:c r="D94" s="14" t="str">
        <x:v>AWS Lambda</x:v>
      </x:c>
      <x:c r="E94" s="14" t="str">
        <x:v>Java 25ランタイムと配布形式を単体検証</x:v>
      </x:c>
      <x:c r="F94" s="14" t="str">
        <x:v>Step 1</x:v>
      </x:c>
      <x:c r="G94" s="14" t="str">
        <x:v>infra/environments/dev/40-backend</x:v>
      </x:c>
      <x:c r="H94" s="14" t="str">
        <x:v>versions.tf, backend.hcl, providers.tf, lambda_smoke.tf, variables.tf, outputs.tf</x:v>
      </x:c>
      <x:c r="I94" s="14" t="str">
        <x:v>aws_lambda_function, aws_cloudwatch_log_group</x:v>
      </x:c>
      <x:c r="J94" s="14" t="str">
        <x:v>lambda-api</x:v>
      </x:c>
      <x:c r="K94" s="14" t="str">
        <x:v>`aws lambda invoke`で固定JSON応答とログを確認</x:v>
      </x:c>
      <x:c r="L94" s="14" t="str">
        <x:v>runtime=java25、architectures=[arm64]、memory=512、timeout=30</x:v>
      </x:c>
      <x:c r="M94" s="14" t="str"/>
      <x:c r="N94" s="14" t="str"/>
      <x:c r="O94" s="14" t="str">
        <x:v>`aws lambda invoke`で固定JSON応答とログを確認</x:v>
      </x:c>
      <x:c r="P94" s="14" t="str"/>
      <x:c r="Q94" s="14" t="str"/>
      <x:c r="R94" s="14" t="str">
        <x:v>数回実行のみ</x:v>
      </x:c>
      <x:c r="S94" s="14" t="str">
        <x:v>最小権限、環境変数へ秘密を置かない</x:v>
      </x:c>
      <x:c r="T94" s="14" t="str">
        <x:v>smoke functionとlog groupをdestroy</x:v>
      </x:c>
      <x:c r="U94" s="14" t="str">
        <x:v>Step 9、11</x:v>
      </x:c>
      <x:c r="V94" s="84" t="str">
        <x:v>未着手</x:v>
      </x:c>
      <x:c r="W94" s="14" t="str">
        <x:v>疎通・動作確認</x:v>
      </x:c>
    </x:row>
    <x:row r="95" ht="58" customHeight="1">
      <x:c r="A95" s="14" t="n">
        <x:v>7</x:v>
      </x:c>
      <x:c r="B95" s="14" t="n">
        <x:v>10</x:v>
      </x:c>
      <x:c r="C95" s="14" t="str">
        <x:v>ランタイム検証</x:v>
      </x:c>
      <x:c r="D95" s="14" t="str">
        <x:v>AWS Lambda</x:v>
      </x:c>
      <x:c r="E95" s="14" t="str">
        <x:v>Java 25ランタイムと配布形式を単体検証</x:v>
      </x:c>
      <x:c r="F95" s="14" t="str">
        <x:v>Step 1</x:v>
      </x:c>
      <x:c r="G95" s="14" t="str">
        <x:v>infra/environments/dev/40-backend</x:v>
      </x:c>
      <x:c r="H95" s="14" t="str">
        <x:v>versions.tf, backend.hcl, providers.tf, lambda_smoke.tf, variables.tf, outputs.tf</x:v>
      </x:c>
      <x:c r="I95" s="14" t="str">
        <x:v>aws_lambda_function, aws_cloudwatch_log_group</x:v>
      </x:c>
      <x:c r="J95" s="14" t="str">
        <x:v>lambda-api</x:v>
      </x:c>
      <x:c r="K95" s="14" t="str">
        <x:v>Java 25 handlerが成功し、ログに機密情報なし</x:v>
      </x:c>
      <x:c r="L95" s="14" t="str">
        <x:v>runtime=java25、architectures=[arm64]、memory=512、timeout=30</x:v>
      </x:c>
      <x:c r="M95" s="14" t="str"/>
      <x:c r="N95" s="14" t="str"/>
      <x:c r="O95" s="14" t="str"/>
      <x:c r="P95" s="14" t="str">
        <x:v>Java 25 handlerが成功し、ログに機密情報なし</x:v>
      </x:c>
      <x:c r="Q95" s="14" t="str"/>
      <x:c r="R95" s="14" t="str">
        <x:v>数回実行のみ</x:v>
      </x:c>
      <x:c r="S95" s="14" t="str">
        <x:v>最小権限、環境変数へ秘密を置かない</x:v>
      </x:c>
      <x:c r="T95" s="14" t="str">
        <x:v>smoke functionとlog groupをdestroy</x:v>
      </x:c>
      <x:c r="U95" s="14" t="str">
        <x:v>Step 9、11</x:v>
      </x:c>
      <x:c r="V95" s="84" t="str">
        <x:v>未着手</x:v>
      </x:c>
      <x:c r="W95" s="14" t="str">
        <x:v>成功条件確認</x:v>
      </x:c>
    </x:row>
    <x:row r="96" ht="58" customHeight="1">
      <x:c r="A96" s="14" t="n">
        <x:v>7</x:v>
      </x:c>
      <x:c r="B96" s="14" t="n">
        <x:v>11</x:v>
      </x:c>
      <x:c r="C96" s="14" t="str">
        <x:v>ランタイム検証</x:v>
      </x:c>
      <x:c r="D96" s="14" t="str">
        <x:v>AWS Lambda</x:v>
      </x:c>
      <x:c r="E96" s="14" t="str">
        <x:v>Java 25ランタイムと配布形式を単体検証</x:v>
      </x:c>
      <x:c r="F96" s="14" t="str">
        <x:v>Step 1</x:v>
      </x:c>
      <x:c r="G96" s="14" t="str">
        <x:v>infra/environments/dev/40-backend</x:v>
      </x:c>
      <x:c r="H96" s="14" t="str">
        <x:v>versions.tf, backend.hcl, providers.tf, lambda_smoke.tf, variables.tf, outputs.tf</x:v>
      </x:c>
      <x:c r="I96" s="14" t="str">
        <x:v>aws_lambda_function, aws_cloudwatch_log_group</x:v>
      </x:c>
      <x:c r="J96" s="14" t="str">
        <x:v>lambda-api</x:v>
      </x:c>
      <x:c r="K96" s="14" t="str">
        <x:v>JAR handler名、IAM Role、architecture、Java build target</x:v>
      </x:c>
      <x:c r="L96" s="14" t="str">
        <x:v>runtime=java25、architectures=[arm64]、memory=512、timeout=30</x:v>
      </x:c>
      <x:c r="M96" s="14" t="str"/>
      <x:c r="N96" s="14" t="str"/>
      <x:c r="O96" s="14" t="str"/>
      <x:c r="P96" s="14" t="str"/>
      <x:c r="Q96" s="14" t="str">
        <x:v>JAR handler名、IAM Role、architecture、Java build target</x:v>
      </x:c>
      <x:c r="R96" s="14" t="str">
        <x:v>数回実行のみ</x:v>
      </x:c>
      <x:c r="S96" s="14" t="str">
        <x:v>最小権限、環境変数へ秘密を置かない</x:v>
      </x:c>
      <x:c r="T96" s="14" t="str">
        <x:v>smoke functionとlog groupをdestroy</x:v>
      </x:c>
      <x:c r="U96" s="14" t="str">
        <x:v>Step 9、11</x:v>
      </x:c>
      <x:c r="V96" s="84" t="str">
        <x:v>未着手</x:v>
      </x:c>
      <x:c r="W96" s="14" t="str">
        <x:v>失敗時確認</x:v>
      </x:c>
    </x:row>
    <x:row r="97" ht="58" customHeight="1">
      <x:c r="A97" s="14" t="n">
        <x:v>7</x:v>
      </x:c>
      <x:c r="B97" s="14" t="n">
        <x:v>12</x:v>
      </x:c>
      <x:c r="C97" s="14" t="str">
        <x:v>ランタイム検証</x:v>
      </x:c>
      <x:c r="D97" s="14" t="str">
        <x:v>AWS Lambda</x:v>
      </x:c>
      <x:c r="E97" s="14" t="str">
        <x:v>Java 25ランタイムと配布形式を単体検証</x:v>
      </x:c>
      <x:c r="F97" s="14" t="str">
        <x:v>Step 1</x:v>
      </x:c>
      <x:c r="G97" s="14" t="str">
        <x:v>infra/environments/dev/40-backend</x:v>
      </x:c>
      <x:c r="H97" s="14" t="str">
        <x:v>versions.tf, backend.hcl, providers.tf, lambda_smoke.tf, variables.tf, outputs.tf</x:v>
      </x:c>
      <x:c r="I97" s="14" t="str">
        <x:v>aws_lambda_function, aws_cloudwatch_log_group</x:v>
      </x:c>
      <x:c r="J97" s="14" t="str">
        <x:v>lambda-api</x:v>
      </x:c>
      <x:c r="K97" s="14" t="str">
        <x:v>削除: smoke functionとlog groupをdestroy / 次: Step 9、11</x:v>
      </x:c>
      <x:c r="L97" s="14" t="str">
        <x:v>runtime=java25、architectures=[arm64]、memory=512、timeout=30</x:v>
      </x:c>
      <x:c r="M97" s="14" t="str"/>
      <x:c r="N97" s="14" t="str"/>
      <x:c r="O97" s="14" t="str"/>
      <x:c r="P97" s="14" t="str"/>
      <x:c r="Q97" s="14" t="str"/>
      <x:c r="R97" s="14" t="str">
        <x:v>数回実行のみ</x:v>
      </x:c>
      <x:c r="S97" s="14" t="str">
        <x:v>最小権限、環境変数へ秘密を置かない</x:v>
      </x:c>
      <x:c r="T97" s="14" t="str">
        <x:v>smoke functionとlog groupをdestroy</x:v>
      </x:c>
      <x:c r="U97" s="14" t="str">
        <x:v>Step 9、11</x:v>
      </x:c>
      <x:c r="V97" s="84" t="str">
        <x:v>未着手</x:v>
      </x:c>
      <x:c r="W97" s="14" t="str">
        <x:v>依存・削除確認</x:v>
      </x:c>
    </x:row>
    <x:row r="98" ht="58" customHeight="1">
      <x:c r="A98" s="14" t="n">
        <x:v>8</x:v>
      </x:c>
      <x:c r="B98" s="14" t="n">
        <x:v>1</x:v>
      </x:c>
      <x:c r="C98" s="14" t="str">
        <x:v>認証</x:v>
      </x:c>
      <x:c r="D98" s="14" t="str">
        <x:v>Amazon Cognito</x:v>
      </x:c>
      <x:c r="E98" s="14" t="str">
        <x:v>ユーザー登録・ログイン・JWT発行を検証</x:v>
      </x:c>
      <x:c r="F98" s="14" t="str">
        <x:v>Step 1</x:v>
      </x:c>
      <x:c r="G98" s="14" t="str">
        <x:v>infra/environments/dev/20-auth</x:v>
      </x:c>
      <x:c r="H98" s="14" t="str">
        <x:v>versions.tf, backend.hcl, providers.tf, cognito.tf, variables.tf, outputs.tf</x:v>
      </x:c>
      <x:c r="I98" s="14" t="str">
        <x:v>aws_cognito_user_pool, aws_cognito_user_pool_client, aws_cognito_user_pool_domain</x:v>
      </x:c>
      <x:c r="J98" s="14" t="str">
        <x:v>cognito</x:v>
      </x:c>
      <x:c r="K98" s="14" t="str">
        <x:v>対象ファイルを作成し、resourceとmoduleの責務を分ける。</x:v>
      </x:c>
      <x:c r="L98" s="14" t="str">
        <x:v>callback_urls、logout_urls、password_policy、MFA=OPTIONAL/OFF</x:v>
      </x:c>
      <x:c r="M98" s="14" t="str"/>
      <x:c r="N98" s="14" t="str"/>
      <x:c r="O98" s="14" t="str"/>
      <x:c r="P98" s="14" t="str"/>
      <x:c r="Q98" s="14" t="str"/>
      <x:c r="R98" s="14" t="str">
        <x:v>MAU、SMS別</x:v>
      </x:c>
      <x:c r="S98" s="14" t="str">
        <x:v>Access Token使用、tokenをログへ出さない</x:v>
      </x:c>
      <x:c r="T98" s="14" t="str">
        <x:v>テストユーザー確認後User Poolをdestroy</x:v>
      </x:c>
      <x:c r="U98" s="14" t="str">
        <x:v>Step 9 JWT Authorizer</x:v>
      </x:c>
      <x:c r="V98" s="84" t="str">
        <x:v>未着手</x:v>
      </x:c>
      <x:c r="W98" s="14" t="str">
        <x:v>対象ファイルの準備</x:v>
      </x:c>
    </x:row>
    <x:row r="99" ht="58" customHeight="1">
      <x:c r="A99" s="14" t="n">
        <x:v>8</x:v>
      </x:c>
      <x:c r="B99" s="14" t="n">
        <x:v>2</x:v>
      </x:c>
      <x:c r="C99" s="14" t="str">
        <x:v>認証</x:v>
      </x:c>
      <x:c r="D99" s="14" t="str">
        <x:v>Amazon Cognito</x:v>
      </x:c>
      <x:c r="E99" s="14" t="str">
        <x:v>ユーザー登録・ログイン・JWT発行を検証</x:v>
      </x:c>
      <x:c r="F99" s="14" t="str">
        <x:v>Step 1</x:v>
      </x:c>
      <x:c r="G99" s="14" t="str">
        <x:v>infra/environments/dev/20-auth</x:v>
      </x:c>
      <x:c r="H99" s="14" t="str">
        <x:v>versions.tf, backend.hcl, providers.tf, cognito.tf, variables.tf, outputs.tf</x:v>
      </x:c>
      <x:c r="I99" s="14" t="str">
        <x:v>aws_cognito_user_pool, aws_cognito_user_pool_client, aws_cognito_user_pool_domain</x:v>
      </x:c>
      <x:c r="J99" s="14" t="str">
        <x:v>cognito</x:v>
      </x:c>
      <x:c r="K99" s="14" t="str">
        <x:v>非機密値だけをtfvarsまたは環境変数へ設定する。</x:v>
      </x:c>
      <x:c r="L99" s="14" t="str">
        <x:v>callback_urls、logout_urls、password_policy、MFA=OPTIONAL/OFF</x:v>
      </x:c>
      <x:c r="M99" s="14" t="str"/>
      <x:c r="N99" s="14" t="str"/>
      <x:c r="O99" s="14" t="str"/>
      <x:c r="P99" s="14" t="str"/>
      <x:c r="Q99" s="14" t="str"/>
      <x:c r="R99" s="14" t="str">
        <x:v>MAU、SMS別</x:v>
      </x:c>
      <x:c r="S99" s="14" t="str">
        <x:v>Access Token使用、tokenをログへ出さない</x:v>
      </x:c>
      <x:c r="T99" s="14" t="str">
        <x:v>テストユーザー確認後User Poolをdestroy</x:v>
      </x:c>
      <x:c r="U99" s="14" t="str">
        <x:v>Step 9 JWT Authorizer</x:v>
      </x:c>
      <x:c r="V99" s="84" t="str">
        <x:v>未着手</x:v>
      </x:c>
      <x:c r="W99" s="14" t="str">
        <x:v>設定値の準備</x:v>
      </x:c>
    </x:row>
    <x:row r="100" ht="58" customHeight="1">
      <x:c r="A100" s="14" t="n">
        <x:v>8</x:v>
      </x:c>
      <x:c r="B100" s="14" t="n">
        <x:v>3</x:v>
      </x:c>
      <x:c r="C100" s="14" t="str">
        <x:v>認証</x:v>
      </x:c>
      <x:c r="D100" s="14" t="str">
        <x:v>Amazon Cognito</x:v>
      </x:c>
      <x:c r="E100" s="14" t="str">
        <x:v>ユーザー登録・ログイン・JWT発行を検証</x:v>
      </x:c>
      <x:c r="F100" s="14" t="str">
        <x:v>Step 1</x:v>
      </x:c>
      <x:c r="G100" s="14" t="str">
        <x:v>infra/environments/dev/20-auth</x:v>
      </x:c>
      <x:c r="H100" s="14" t="str">
        <x:v>versions.tf, backend.hcl, providers.tf, cognito.tf, variables.tf, outputs.tf</x:v>
      </x:c>
      <x:c r="I100" s="14" t="str">
        <x:v>aws_cognito_user_pool, aws_cognito_user_pool_client, aws_cognito_user_pool_domain</x:v>
      </x:c>
      <x:c r="J100" s="14" t="str">
        <x:v>cognito</x:v>
      </x:c>
      <x:c r="K100" s="14" t="str">
        <x:v>HCLファイルを自動整形する。</x:v>
      </x:c>
      <x:c r="L100" s="14" t="str">
        <x:v>callback_urls、logout_urls、password_policy、MFA=OPTIONAL/OFF</x:v>
      </x:c>
      <x:c r="M100" s="14" t="str">
        <x:v>`terraform fmt -recursive`</x:v>
      </x:c>
      <x:c r="N100" s="14" t="str"/>
      <x:c r="O100" s="14" t="str"/>
      <x:c r="P100" s="14" t="str"/>
      <x:c r="Q100" s="14" t="str"/>
      <x:c r="R100" s="14" t="str">
        <x:v>MAU、SMS別</x:v>
      </x:c>
      <x:c r="S100" s="14" t="str">
        <x:v>Access Token使用、tokenをログへ出さない</x:v>
      </x:c>
      <x:c r="T100" s="14" t="str">
        <x:v>テストユーザー確認後User Poolをdestroy</x:v>
      </x:c>
      <x:c r="U100" s="14" t="str">
        <x:v>Step 9 JWT Authorizer</x:v>
      </x:c>
      <x:c r="V100" s="84" t="str">
        <x:v>未着手</x:v>
      </x:c>
      <x:c r="W100" s="14" t="str">
        <x:v>terraform fmt</x:v>
      </x:c>
    </x:row>
    <x:row r="101" ht="58" customHeight="1">
      <x:c r="A101" s="14" t="n">
        <x:v>8</x:v>
      </x:c>
      <x:c r="B101" s="14" t="n">
        <x:v>4</x:v>
      </x:c>
      <x:c r="C101" s="14" t="str">
        <x:v>認証</x:v>
      </x:c>
      <x:c r="D101" s="14" t="str">
        <x:v>Amazon Cognito</x:v>
      </x:c>
      <x:c r="E101" s="14" t="str">
        <x:v>ユーザー登録・ログイン・JWT発行を検証</x:v>
      </x:c>
      <x:c r="F101" s="14" t="str">
        <x:v>Step 1</x:v>
      </x:c>
      <x:c r="G101" s="14" t="str">
        <x:v>infra/environments/dev/20-auth</x:v>
      </x:c>
      <x:c r="H101" s="14" t="str">
        <x:v>versions.tf, backend.hcl, providers.tf, cognito.tf, variables.tf, outputs.tf</x:v>
      </x:c>
      <x:c r="I101" s="14" t="str">
        <x:v>aws_cognito_user_pool, aws_cognito_user_pool_client, aws_cognito_user_pool_domain</x:v>
      </x:c>
      <x:c r="J101" s="14" t="str">
        <x:v>cognito</x:v>
      </x:c>
      <x:c r="K101" s="14" t="str">
        <x:v>backend、Provider、moduleを初期化する。</x:v>
      </x:c>
      <x:c r="L101" s="14" t="str">
        <x:v>callback_urls、logout_urls、password_policy、MFA=OPTIONAL/OFF</x:v>
      </x:c>
      <x:c r="M101" s="14" t="str">
        <x:v>新root stackのためinit必要。</x:v>
      </x:c>
      <x:c r="N101" s="14" t="str"/>
      <x:c r="O101" s="14" t="str"/>
      <x:c r="P101" s="14" t="str"/>
      <x:c r="Q101" s="14" t="str"/>
      <x:c r="R101" s="14" t="str">
        <x:v>MAU、SMS別</x:v>
      </x:c>
      <x:c r="S101" s="14" t="str">
        <x:v>Access Token使用、tokenをログへ出さない</x:v>
      </x:c>
      <x:c r="T101" s="14" t="str">
        <x:v>テストユーザー確認後User Poolをdestroy</x:v>
      </x:c>
      <x:c r="U101" s="14" t="str">
        <x:v>Step 9 JWT Authorizer</x:v>
      </x:c>
      <x:c r="V101" s="84" t="str">
        <x:v>未着手</x:v>
      </x:c>
      <x:c r="W101" s="14" t="str">
        <x:v>terraform init</x:v>
      </x:c>
    </x:row>
    <x:row r="102" ht="58" customHeight="1">
      <x:c r="A102" s="14" t="n">
        <x:v>8</x:v>
      </x:c>
      <x:c r="B102" s="14" t="n">
        <x:v>5</x:v>
      </x:c>
      <x:c r="C102" s="14" t="str">
        <x:v>認証</x:v>
      </x:c>
      <x:c r="D102" s="14" t="str">
        <x:v>Amazon Cognito</x:v>
      </x:c>
      <x:c r="E102" s="14" t="str">
        <x:v>ユーザー登録・ログイン・JWT発行を検証</x:v>
      </x:c>
      <x:c r="F102" s="14" t="str">
        <x:v>Step 1</x:v>
      </x:c>
      <x:c r="G102" s="14" t="str">
        <x:v>infra/environments/dev/20-auth</x:v>
      </x:c>
      <x:c r="H102" s="14" t="str">
        <x:v>versions.tf, backend.hcl, providers.tf, cognito.tf, variables.tf, outputs.tf</x:v>
      </x:c>
      <x:c r="I102" s="14" t="str">
        <x:v>aws_cognito_user_pool, aws_cognito_user_pool_client, aws_cognito_user_pool_domain</x:v>
      </x:c>
      <x:c r="J102" s="14" t="str">
        <x:v>cognito</x:v>
      </x:c>
      <x:c r="K102" s="14" t="str">
        <x:v>`terraform validate`</x:v>
      </x:c>
      <x:c r="L102" s="14" t="str">
        <x:v>callback_urls、logout_urls、password_policy、MFA=OPTIONAL/OFF</x:v>
      </x:c>
      <x:c r="M102" s="14" t="str">
        <x:v>`terraform validate`</x:v>
      </x:c>
      <x:c r="N102" s="14" t="str"/>
      <x:c r="O102" s="14" t="str"/>
      <x:c r="P102" s="14" t="str"/>
      <x:c r="Q102" s="14" t="str"/>
      <x:c r="R102" s="14" t="str">
        <x:v>MAU、SMS別</x:v>
      </x:c>
      <x:c r="S102" s="14" t="str">
        <x:v>Access Token使用、tokenをログへ出さない</x:v>
      </x:c>
      <x:c r="T102" s="14" t="str">
        <x:v>テストユーザー確認後User Poolをdestroy</x:v>
      </x:c>
      <x:c r="U102" s="14" t="str">
        <x:v>Step 9 JWT Authorizer</x:v>
      </x:c>
      <x:c r="V102" s="84" t="str">
        <x:v>未着手</x:v>
      </x:c>
      <x:c r="W102" s="14" t="str">
        <x:v>terraform validate</x:v>
      </x:c>
    </x:row>
    <x:row r="103" ht="58" customHeight="1">
      <x:c r="A103" s="14" t="n">
        <x:v>8</x:v>
      </x:c>
      <x:c r="B103" s="14" t="n">
        <x:v>6</x:v>
      </x:c>
      <x:c r="C103" s="14" t="str">
        <x:v>認証</x:v>
      </x:c>
      <x:c r="D103" s="14" t="str">
        <x:v>Amazon Cognito</x:v>
      </x:c>
      <x:c r="E103" s="14" t="str">
        <x:v>ユーザー登録・ログイン・JWT発行を検証</x:v>
      </x:c>
      <x:c r="F103" s="14" t="str">
        <x:v>Step 1</x:v>
      </x:c>
      <x:c r="G103" s="14" t="str">
        <x:v>infra/environments/dev/20-auth</x:v>
      </x:c>
      <x:c r="H103" s="14" t="str">
        <x:v>versions.tf, backend.hcl, providers.tf, cognito.tf, variables.tf, outputs.tf</x:v>
      </x:c>
      <x:c r="I103" s="14" t="str">
        <x:v>aws_cognito_user_pool, aws_cognito_user_pool_client, aws_cognito_user_pool_domain</x:v>
      </x:c>
      <x:c r="J103" s="14" t="str">
        <x:v>cognito</x:v>
      </x:c>
      <x:c r="K103" s="14" t="str">
        <x:v>`terraform plan -out=tfplan`</x:v>
      </x:c>
      <x:c r="L103" s="14" t="str">
        <x:v>callback_urls、logout_urls、password_policy、MFA=OPTIONAL/OFF</x:v>
      </x:c>
      <x:c r="M103" s="14" t="str">
        <x:v>`terraform plan -out=tfplan`</x:v>
      </x:c>
      <x:c r="N103" s="14" t="str"/>
      <x:c r="O103" s="14" t="str"/>
      <x:c r="P103" s="14" t="str"/>
      <x:c r="Q103" s="14" t="str"/>
      <x:c r="R103" s="14" t="str">
        <x:v>MAU、SMS別</x:v>
      </x:c>
      <x:c r="S103" s="14" t="str">
        <x:v>Access Token使用、tokenをログへ出さない</x:v>
      </x:c>
      <x:c r="T103" s="14" t="str">
        <x:v>テストユーザー確認後User Poolをdestroy</x:v>
      </x:c>
      <x:c r="U103" s="14" t="str">
        <x:v>Step 9 JWT Authorizer</x:v>
      </x:c>
      <x:c r="V103" s="84" t="str">
        <x:v>未着手</x:v>
      </x:c>
      <x:c r="W103" s="14" t="str">
        <x:v>terraform plan</x:v>
      </x:c>
    </x:row>
    <x:row r="104" ht="58" customHeight="1">
      <x:c r="A104" s="14" t="n">
        <x:v>8</x:v>
      </x:c>
      <x:c r="B104" s="14" t="n">
        <x:v>7</x:v>
      </x:c>
      <x:c r="C104" s="14" t="str">
        <x:v>認証</x:v>
      </x:c>
      <x:c r="D104" s="14" t="str">
        <x:v>Amazon Cognito</x:v>
      </x:c>
      <x:c r="E104" s="14" t="str">
        <x:v>ユーザー登録・ログイン・JWT発行を検証</x:v>
      </x:c>
      <x:c r="F104" s="14" t="str">
        <x:v>Step 1</x:v>
      </x:c>
      <x:c r="G104" s="14" t="str">
        <x:v>infra/environments/dev/20-auth</x:v>
      </x:c>
      <x:c r="H104" s="14" t="str">
        <x:v>versions.tf, backend.hcl, providers.tf, cognito.tf, variables.tf, outputs.tf</x:v>
      </x:c>
      <x:c r="I104" s="14" t="str">
        <x:v>aws_cognito_user_pool, aws_cognito_user_pool_client, aws_cognito_user_pool_domain</x:v>
      </x:c>
      <x:c r="J104" s="14" t="str">
        <x:v>cognito</x:v>
      </x:c>
      <x:c r="K104" s="14" t="str">
        <x:v>`terraform apply tfplan`</x:v>
      </x:c>
      <x:c r="L104" s="14" t="str">
        <x:v>callback_urls、logout_urls、password_policy、MFA=OPTIONAL/OFF</x:v>
      </x:c>
      <x:c r="M104" s="14" t="str">
        <x:v>`terraform apply tfplan`</x:v>
      </x:c>
      <x:c r="N104" s="14" t="str"/>
      <x:c r="O104" s="14" t="str"/>
      <x:c r="P104" s="14" t="str"/>
      <x:c r="Q104" s="14" t="str"/>
      <x:c r="R104" s="14" t="str">
        <x:v>MAU、SMS別</x:v>
      </x:c>
      <x:c r="S104" s="14" t="str">
        <x:v>Access Token使用、tokenをログへ出さない</x:v>
      </x:c>
      <x:c r="T104" s="14" t="str">
        <x:v>テストユーザー確認後User Poolをdestroy</x:v>
      </x:c>
      <x:c r="U104" s="14" t="str">
        <x:v>Step 9 JWT Authorizer</x:v>
      </x:c>
      <x:c r="V104" s="84" t="str">
        <x:v>未着手</x:v>
      </x:c>
      <x:c r="W104" s="14" t="str">
        <x:v>terraform apply</x:v>
      </x:c>
    </x:row>
    <x:row r="105" ht="58" customHeight="1">
      <x:c r="A105" s="14" t="n">
        <x:v>8</x:v>
      </x:c>
      <x:c r="B105" s="14" t="n">
        <x:v>8</x:v>
      </x:c>
      <x:c r="C105" s="14" t="str">
        <x:v>認証</x:v>
      </x:c>
      <x:c r="D105" s="14" t="str">
        <x:v>Amazon Cognito</x:v>
      </x:c>
      <x:c r="E105" s="14" t="str">
        <x:v>ユーザー登録・ログイン・JWT発行を検証</x:v>
      </x:c>
      <x:c r="F105" s="14" t="str">
        <x:v>Step 1</x:v>
      </x:c>
      <x:c r="G105" s="14" t="str">
        <x:v>infra/environments/dev/20-auth</x:v>
      </x:c>
      <x:c r="H105" s="14" t="str">
        <x:v>versions.tf, backend.hcl, providers.tf, cognito.tf, variables.tf, outputs.tf</x:v>
      </x:c>
      <x:c r="I105" s="14" t="str">
        <x:v>aws_cognito_user_pool, aws_cognito_user_pool_client, aws_cognito_user_pool_domain</x:v>
      </x:c>
      <x:c r="J105" s="14" t="str">
        <x:v>cognito</x:v>
      </x:c>
      <x:c r="K105" s="14" t="str">
        <x:v>Cognito ConsoleでPool/Client/Domainを確認</x:v>
      </x:c>
      <x:c r="L105" s="14" t="str">
        <x:v>callback_urls、logout_urls、password_policy、MFA=OPTIONAL/OFF</x:v>
      </x:c>
      <x:c r="M105" s="14" t="str"/>
      <x:c r="N105" s="14" t="str">
        <x:v>Cognito ConsoleでPool/Client/Domainを確認</x:v>
      </x:c>
      <x:c r="O105" s="14" t="str"/>
      <x:c r="P105" s="14" t="str"/>
      <x:c r="Q105" s="14" t="str"/>
      <x:c r="R105" s="14" t="str">
        <x:v>MAU、SMS別</x:v>
      </x:c>
      <x:c r="S105" s="14" t="str">
        <x:v>Access Token使用、tokenをログへ出さない</x:v>
      </x:c>
      <x:c r="T105" s="14" t="str">
        <x:v>テストユーザー確認後User Poolをdestroy</x:v>
      </x:c>
      <x:c r="U105" s="14" t="str">
        <x:v>Step 9 JWT Authorizer</x:v>
      </x:c>
      <x:c r="V105" s="84" t="str">
        <x:v>未着手</x:v>
      </x:c>
      <x:c r="W105" s="14" t="str">
        <x:v>AWSリソース確認</x:v>
      </x:c>
    </x:row>
    <x:row r="106" ht="58" customHeight="1">
      <x:c r="A106" s="14" t="n">
        <x:v>8</x:v>
      </x:c>
      <x:c r="B106" s="14" t="n">
        <x:v>9</x:v>
      </x:c>
      <x:c r="C106" s="14" t="str">
        <x:v>認証</x:v>
      </x:c>
      <x:c r="D106" s="14" t="str">
        <x:v>Amazon Cognito</x:v>
      </x:c>
      <x:c r="E106" s="14" t="str">
        <x:v>ユーザー登録・ログイン・JWT発行を検証</x:v>
      </x:c>
      <x:c r="F106" s="14" t="str">
        <x:v>Step 1</x:v>
      </x:c>
      <x:c r="G106" s="14" t="str">
        <x:v>infra/environments/dev/20-auth</x:v>
      </x:c>
      <x:c r="H106" s="14" t="str">
        <x:v>versions.tf, backend.hcl, providers.tf, cognito.tf, variables.tf, outputs.tf</x:v>
      </x:c>
      <x:c r="I106" s="14" t="str">
        <x:v>aws_cognito_user_pool, aws_cognito_user_pool_client, aws_cognito_user_pool_domain</x:v>
      </x:c>
      <x:c r="J106" s="14" t="str">
        <x:v>cognito</x:v>
      </x:c>
      <x:c r="K106" s="14" t="str">
        <x:v>テストユーザーでAccess Tokenのiss/aud/exp/subを確認</x:v>
      </x:c>
      <x:c r="L106" s="14" t="str">
        <x:v>callback_urls、logout_urls、password_policy、MFA=OPTIONAL/OFF</x:v>
      </x:c>
      <x:c r="M106" s="14" t="str"/>
      <x:c r="N106" s="14" t="str"/>
      <x:c r="O106" s="14" t="str">
        <x:v>テストユーザーでAccess Tokenのiss/aud/exp/subを確認</x:v>
      </x:c>
      <x:c r="P106" s="14" t="str"/>
      <x:c r="Q106" s="14" t="str"/>
      <x:c r="R106" s="14" t="str">
        <x:v>MAU、SMS別</x:v>
      </x:c>
      <x:c r="S106" s="14" t="str">
        <x:v>Access Token使用、tokenをログへ出さない</x:v>
      </x:c>
      <x:c r="T106" s="14" t="str">
        <x:v>テストユーザー確認後User Poolをdestroy</x:v>
      </x:c>
      <x:c r="U106" s="14" t="str">
        <x:v>Step 9 JWT Authorizer</x:v>
      </x:c>
      <x:c r="V106" s="84" t="str">
        <x:v>未着手</x:v>
      </x:c>
      <x:c r="W106" s="14" t="str">
        <x:v>疎通・動作確認</x:v>
      </x:c>
    </x:row>
    <x:row r="107" ht="58" customHeight="1">
      <x:c r="A107" s="14" t="n">
        <x:v>8</x:v>
      </x:c>
      <x:c r="B107" s="14" t="n">
        <x:v>10</x:v>
      </x:c>
      <x:c r="C107" s="14" t="str">
        <x:v>認証</x:v>
      </x:c>
      <x:c r="D107" s="14" t="str">
        <x:v>Amazon Cognito</x:v>
      </x:c>
      <x:c r="E107" s="14" t="str">
        <x:v>ユーザー登録・ログイン・JWT発行を検証</x:v>
      </x:c>
      <x:c r="F107" s="14" t="str">
        <x:v>Step 1</x:v>
      </x:c>
      <x:c r="G107" s="14" t="str">
        <x:v>infra/environments/dev/20-auth</x:v>
      </x:c>
      <x:c r="H107" s="14" t="str">
        <x:v>versions.tf, backend.hcl, providers.tf, cognito.tf, variables.tf, outputs.tf</x:v>
      </x:c>
      <x:c r="I107" s="14" t="str">
        <x:v>aws_cognito_user_pool, aws_cognito_user_pool_client, aws_cognito_user_pool_domain</x:v>
      </x:c>
      <x:c r="J107" s="14" t="str">
        <x:v>cognito</x:v>
      </x:c>
      <x:c r="K107" s="14" t="str">
        <x:v>Access Tokenを取得でき、subが一意</x:v>
      </x:c>
      <x:c r="L107" s="14" t="str">
        <x:v>callback_urls、logout_urls、password_policy、MFA=OPTIONAL/OFF</x:v>
      </x:c>
      <x:c r="M107" s="14" t="str"/>
      <x:c r="N107" s="14" t="str"/>
      <x:c r="O107" s="14" t="str"/>
      <x:c r="P107" s="14" t="str">
        <x:v>Access Tokenを取得でき、subが一意</x:v>
      </x:c>
      <x:c r="Q107" s="14" t="str"/>
      <x:c r="R107" s="14" t="str">
        <x:v>MAU、SMS別</x:v>
      </x:c>
      <x:c r="S107" s="14" t="str">
        <x:v>Access Token使用、tokenをログへ出さない</x:v>
      </x:c>
      <x:c r="T107" s="14" t="str">
        <x:v>テストユーザー確認後User Poolをdestroy</x:v>
      </x:c>
      <x:c r="U107" s="14" t="str">
        <x:v>Step 9 JWT Authorizer</x:v>
      </x:c>
      <x:c r="V107" s="84" t="str">
        <x:v>未着手</x:v>
      </x:c>
      <x:c r="W107" s="14" t="str">
        <x:v>成功条件確認</x:v>
      </x:c>
    </x:row>
    <x:row r="108" ht="58" customHeight="1">
      <x:c r="A108" s="14" t="n">
        <x:v>8</x:v>
      </x:c>
      <x:c r="B108" s="14" t="n">
        <x:v>11</x:v>
      </x:c>
      <x:c r="C108" s="14" t="str">
        <x:v>認証</x:v>
      </x:c>
      <x:c r="D108" s="14" t="str">
        <x:v>Amazon Cognito</x:v>
      </x:c>
      <x:c r="E108" s="14" t="str">
        <x:v>ユーザー登録・ログイン・JWT発行を検証</x:v>
      </x:c>
      <x:c r="F108" s="14" t="str">
        <x:v>Step 1</x:v>
      </x:c>
      <x:c r="G108" s="14" t="str">
        <x:v>infra/environments/dev/20-auth</x:v>
      </x:c>
      <x:c r="H108" s="14" t="str">
        <x:v>versions.tf, backend.hcl, providers.tf, cognito.tf, variables.tf, outputs.tf</x:v>
      </x:c>
      <x:c r="I108" s="14" t="str">
        <x:v>aws_cognito_user_pool, aws_cognito_user_pool_client, aws_cognito_user_pool_domain</x:v>
      </x:c>
      <x:c r="J108" s="14" t="str">
        <x:v>cognito</x:v>
      </x:c>
      <x:c r="K108" s="14" t="str">
        <x:v>callback URL、client secret、確認状態、password policy</x:v>
      </x:c>
      <x:c r="L108" s="14" t="str">
        <x:v>callback_urls、logout_urls、password_policy、MFA=OPTIONAL/OFF</x:v>
      </x:c>
      <x:c r="M108" s="14" t="str"/>
      <x:c r="N108" s="14" t="str"/>
      <x:c r="O108" s="14" t="str"/>
      <x:c r="P108" s="14" t="str"/>
      <x:c r="Q108" s="14" t="str">
        <x:v>callback URL、client secret、確認状態、password policy</x:v>
      </x:c>
      <x:c r="R108" s="14" t="str">
        <x:v>MAU、SMS別</x:v>
      </x:c>
      <x:c r="S108" s="14" t="str">
        <x:v>Access Token使用、tokenをログへ出さない</x:v>
      </x:c>
      <x:c r="T108" s="14" t="str">
        <x:v>テストユーザー確認後User Poolをdestroy</x:v>
      </x:c>
      <x:c r="U108" s="14" t="str">
        <x:v>Step 9 JWT Authorizer</x:v>
      </x:c>
      <x:c r="V108" s="84" t="str">
        <x:v>未着手</x:v>
      </x:c>
      <x:c r="W108" s="14" t="str">
        <x:v>失敗時確認</x:v>
      </x:c>
    </x:row>
    <x:row r="109" ht="58" customHeight="1">
      <x:c r="A109" s="14" t="n">
        <x:v>8</x:v>
      </x:c>
      <x:c r="B109" s="14" t="n">
        <x:v>12</x:v>
      </x:c>
      <x:c r="C109" s="14" t="str">
        <x:v>認証</x:v>
      </x:c>
      <x:c r="D109" s="14" t="str">
        <x:v>Amazon Cognito</x:v>
      </x:c>
      <x:c r="E109" s="14" t="str">
        <x:v>ユーザー登録・ログイン・JWT発行を検証</x:v>
      </x:c>
      <x:c r="F109" s="14" t="str">
        <x:v>Step 1</x:v>
      </x:c>
      <x:c r="G109" s="14" t="str">
        <x:v>infra/environments/dev/20-auth</x:v>
      </x:c>
      <x:c r="H109" s="14" t="str">
        <x:v>versions.tf, backend.hcl, providers.tf, cognito.tf, variables.tf, outputs.tf</x:v>
      </x:c>
      <x:c r="I109" s="14" t="str">
        <x:v>aws_cognito_user_pool, aws_cognito_user_pool_client, aws_cognito_user_pool_domain</x:v>
      </x:c>
      <x:c r="J109" s="14" t="str">
        <x:v>cognito</x:v>
      </x:c>
      <x:c r="K109" s="14" t="str">
        <x:v>削除: テストユーザー確認後User Poolをdestroy / 次: Step 9 JWT Authorizer</x:v>
      </x:c>
      <x:c r="L109" s="14" t="str">
        <x:v>callback_urls、logout_urls、password_policy、MFA=OPTIONAL/OFF</x:v>
      </x:c>
      <x:c r="M109" s="14" t="str"/>
      <x:c r="N109" s="14" t="str"/>
      <x:c r="O109" s="14" t="str"/>
      <x:c r="P109" s="14" t="str"/>
      <x:c r="Q109" s="14" t="str"/>
      <x:c r="R109" s="14" t="str">
        <x:v>MAU、SMS別</x:v>
      </x:c>
      <x:c r="S109" s="14" t="str">
        <x:v>Access Token使用、tokenをログへ出さない</x:v>
      </x:c>
      <x:c r="T109" s="14" t="str">
        <x:v>テストユーザー確認後User Poolをdestroy</x:v>
      </x:c>
      <x:c r="U109" s="14" t="str">
        <x:v>Step 9 JWT Authorizer</x:v>
      </x:c>
      <x:c r="V109" s="84" t="str">
        <x:v>未着手</x:v>
      </x:c>
      <x:c r="W109" s="14" t="str">
        <x:v>依存・削除確認</x:v>
      </x:c>
    </x:row>
    <x:row r="110" ht="58" customHeight="1">
      <x:c r="A110" s="14" t="n">
        <x:v>9</x:v>
      </x:c>
      <x:c r="B110" s="14" t="n">
        <x:v>1</x:v>
      </x:c>
      <x:c r="C110" s="14" t="str">
        <x:v>API公開</x:v>
      </x:c>
      <x:c r="D110" s="14" t="str">
        <x:v>Amazon API Gateway HTTP API</x:v>
      </x:c>
      <x:c r="E110" s="14" t="str">
        <x:v>JWTで保護されたHTTP APIを作成</x:v>
      </x:c>
      <x:c r="F110" s="14" t="str">
        <x:v>Step 7,8</x:v>
      </x:c>
      <x:c r="G110" s="14" t="str">
        <x:v>infra/environments/dev/40-backend</x:v>
      </x:c>
      <x:c r="H110" s="14" t="str">
        <x:v>api_gateway.tf, variables.tf, outputs.tf</x:v>
      </x:c>
      <x:c r="I110" s="14" t="str">
        <x:v>aws_apigatewayv2_api, authorizer, integration, route, stage, aws_lambda_permission</x:v>
      </x:c>
      <x:c r="J110" s="14" t="str">
        <x:v>api-gateway</x:v>
      </x:c>
      <x:c r="K110" s="14" t="str">
        <x:v>対象ファイルを作成し、resourceとmoduleの責務を分ける。</x:v>
      </x:c>
      <x:c r="L110" s="14" t="str">
        <x:v>issuer、audience、CORS origin、throttle settings</x:v>
      </x:c>
      <x:c r="M110" s="14" t="str"/>
      <x:c r="N110" s="14" t="str"/>
      <x:c r="O110" s="14" t="str"/>
      <x:c r="P110" s="14" t="str"/>
      <x:c r="Q110" s="14" t="str"/>
      <x:c r="R110" s="14" t="str">
        <x:v>request数</x:v>
      </x:c>
      <x:c r="S110" s="14" t="str">
        <x:v>JWT必須、Throttle、許可Origin限定</x:v>
      </x:c>
      <x:c r="T110" s="14" t="str">
        <x:v>route/integration/permissionを解除してdestroy</x:v>
      </x:c>
      <x:c r="U110" s="14" t="str">
        <x:v>Step 11 Spring Boot API</x:v>
      </x:c>
      <x:c r="V110" s="84" t="str">
        <x:v>未着手</x:v>
      </x:c>
      <x:c r="W110" s="14" t="str">
        <x:v>対象ファイルの準備</x:v>
      </x:c>
    </x:row>
    <x:row r="111" ht="58" customHeight="1">
      <x:c r="A111" s="14" t="n">
        <x:v>9</x:v>
      </x:c>
      <x:c r="B111" s="14" t="n">
        <x:v>2</x:v>
      </x:c>
      <x:c r="C111" s="14" t="str">
        <x:v>API公開</x:v>
      </x:c>
      <x:c r="D111" s="14" t="str">
        <x:v>Amazon API Gateway HTTP API</x:v>
      </x:c>
      <x:c r="E111" s="14" t="str">
        <x:v>JWTで保護されたHTTP APIを作成</x:v>
      </x:c>
      <x:c r="F111" s="14" t="str">
        <x:v>Step 7,8</x:v>
      </x:c>
      <x:c r="G111" s="14" t="str">
        <x:v>infra/environments/dev/40-backend</x:v>
      </x:c>
      <x:c r="H111" s="14" t="str">
        <x:v>api_gateway.tf, variables.tf, outputs.tf</x:v>
      </x:c>
      <x:c r="I111" s="14" t="str">
        <x:v>aws_apigatewayv2_api, authorizer, integration, route, stage, aws_lambda_permission</x:v>
      </x:c>
      <x:c r="J111" s="14" t="str">
        <x:v>api-gateway</x:v>
      </x:c>
      <x:c r="K111" s="14" t="str">
        <x:v>非機密値だけをtfvarsまたは環境変数へ設定する。</x:v>
      </x:c>
      <x:c r="L111" s="14" t="str">
        <x:v>issuer、audience、CORS origin、throttle settings</x:v>
      </x:c>
      <x:c r="M111" s="14" t="str"/>
      <x:c r="N111" s="14" t="str"/>
      <x:c r="O111" s="14" t="str"/>
      <x:c r="P111" s="14" t="str"/>
      <x:c r="Q111" s="14" t="str"/>
      <x:c r="R111" s="14" t="str">
        <x:v>request数</x:v>
      </x:c>
      <x:c r="S111" s="14" t="str">
        <x:v>JWT必須、Throttle、許可Origin限定</x:v>
      </x:c>
      <x:c r="T111" s="14" t="str">
        <x:v>route/integration/permissionを解除してdestroy</x:v>
      </x:c>
      <x:c r="U111" s="14" t="str">
        <x:v>Step 11 Spring Boot API</x:v>
      </x:c>
      <x:c r="V111" s="84" t="str">
        <x:v>未着手</x:v>
      </x:c>
      <x:c r="W111" s="14" t="str">
        <x:v>設定値の準備</x:v>
      </x:c>
    </x:row>
    <x:row r="112" ht="58" customHeight="1">
      <x:c r="A112" s="14" t="n">
        <x:v>9</x:v>
      </x:c>
      <x:c r="B112" s="14" t="n">
        <x:v>3</x:v>
      </x:c>
      <x:c r="C112" s="14" t="str">
        <x:v>API公開</x:v>
      </x:c>
      <x:c r="D112" s="14" t="str">
        <x:v>Amazon API Gateway HTTP API</x:v>
      </x:c>
      <x:c r="E112" s="14" t="str">
        <x:v>JWTで保護されたHTTP APIを作成</x:v>
      </x:c>
      <x:c r="F112" s="14" t="str">
        <x:v>Step 7,8</x:v>
      </x:c>
      <x:c r="G112" s="14" t="str">
        <x:v>infra/environments/dev/40-backend</x:v>
      </x:c>
      <x:c r="H112" s="14" t="str">
        <x:v>api_gateway.tf, variables.tf, outputs.tf</x:v>
      </x:c>
      <x:c r="I112" s="14" t="str">
        <x:v>aws_apigatewayv2_api, authorizer, integration, route, stage, aws_lambda_permission</x:v>
      </x:c>
      <x:c r="J112" s="14" t="str">
        <x:v>api-gateway</x:v>
      </x:c>
      <x:c r="K112" s="14" t="str">
        <x:v>HCLファイルを自動整形する。</x:v>
      </x:c>
      <x:c r="L112" s="14" t="str">
        <x:v>issuer、audience、CORS origin、throttle settings</x:v>
      </x:c>
      <x:c r="M112" s="14" t="str">
        <x:v>`terraform fmt -recursive`</x:v>
      </x:c>
      <x:c r="N112" s="14" t="str"/>
      <x:c r="O112" s="14" t="str"/>
      <x:c r="P112" s="14" t="str"/>
      <x:c r="Q112" s="14" t="str"/>
      <x:c r="R112" s="14" t="str">
        <x:v>request数</x:v>
      </x:c>
      <x:c r="S112" s="14" t="str">
        <x:v>JWT必須、Throttle、許可Origin限定</x:v>
      </x:c>
      <x:c r="T112" s="14" t="str">
        <x:v>route/integration/permissionを解除してdestroy</x:v>
      </x:c>
      <x:c r="U112" s="14" t="str">
        <x:v>Step 11 Spring Boot API</x:v>
      </x:c>
      <x:c r="V112" s="84" t="str">
        <x:v>未着手</x:v>
      </x:c>
      <x:c r="W112" s="14" t="str">
        <x:v>terraform fmt</x:v>
      </x:c>
    </x:row>
    <x:row r="113" ht="58" customHeight="1">
      <x:c r="A113" s="14" t="n">
        <x:v>9</x:v>
      </x:c>
      <x:c r="B113" s="14" t="n">
        <x:v>4</x:v>
      </x:c>
      <x:c r="C113" s="14" t="str">
        <x:v>API公開</x:v>
      </x:c>
      <x:c r="D113" s="14" t="str">
        <x:v>Amazon API Gateway HTTP API</x:v>
      </x:c>
      <x:c r="E113" s="14" t="str">
        <x:v>JWTで保護されたHTTP APIを作成</x:v>
      </x:c>
      <x:c r="F113" s="14" t="str">
        <x:v>Step 7,8</x:v>
      </x:c>
      <x:c r="G113" s="14" t="str">
        <x:v>infra/environments/dev/40-backend</x:v>
      </x:c>
      <x:c r="H113" s="14" t="str">
        <x:v>api_gateway.tf, variables.tf, outputs.tf</x:v>
      </x:c>
      <x:c r="I113" s="14" t="str">
        <x:v>aws_apigatewayv2_api, authorizer, integration, route, stage, aws_lambda_permission</x:v>
      </x:c>
      <x:c r="J113" s="14" t="str">
        <x:v>api-gateway</x:v>
      </x:c>
      <x:c r="K113" s="14" t="str">
        <x:v>backend、Provider、moduleを初期化する。</x:v>
      </x:c>
      <x:c r="L113" s="14" t="str">
        <x:v>issuer、audience、CORS origin、throttle settings</x:v>
      </x:c>
      <x:c r="M113" s="14" t="str">
        <x:v>Step 7でinit済み。通常不要。</x:v>
      </x:c>
      <x:c r="N113" s="14" t="str"/>
      <x:c r="O113" s="14" t="str"/>
      <x:c r="P113" s="14" t="str"/>
      <x:c r="Q113" s="14" t="str"/>
      <x:c r="R113" s="14" t="str">
        <x:v>request数</x:v>
      </x:c>
      <x:c r="S113" s="14" t="str">
        <x:v>JWT必須、Throttle、許可Origin限定</x:v>
      </x:c>
      <x:c r="T113" s="14" t="str">
        <x:v>route/integration/permissionを解除してdestroy</x:v>
      </x:c>
      <x:c r="U113" s="14" t="str">
        <x:v>Step 11 Spring Boot API</x:v>
      </x:c>
      <x:c r="V113" s="84" t="str">
        <x:v>未着手</x:v>
      </x:c>
      <x:c r="W113" s="14" t="str">
        <x:v>terraform init</x:v>
      </x:c>
    </x:row>
    <x:row r="114" ht="58" customHeight="1">
      <x:c r="A114" s="14" t="n">
        <x:v>9</x:v>
      </x:c>
      <x:c r="B114" s="14" t="n">
        <x:v>5</x:v>
      </x:c>
      <x:c r="C114" s="14" t="str">
        <x:v>API公開</x:v>
      </x:c>
      <x:c r="D114" s="14" t="str">
        <x:v>Amazon API Gateway HTTP API</x:v>
      </x:c>
      <x:c r="E114" s="14" t="str">
        <x:v>JWTで保護されたHTTP APIを作成</x:v>
      </x:c>
      <x:c r="F114" s="14" t="str">
        <x:v>Step 7,8</x:v>
      </x:c>
      <x:c r="G114" s="14" t="str">
        <x:v>infra/environments/dev/40-backend</x:v>
      </x:c>
      <x:c r="H114" s="14" t="str">
        <x:v>api_gateway.tf, variables.tf, outputs.tf</x:v>
      </x:c>
      <x:c r="I114" s="14" t="str">
        <x:v>aws_apigatewayv2_api, authorizer, integration, route, stage, aws_lambda_permission</x:v>
      </x:c>
      <x:c r="J114" s="14" t="str">
        <x:v>api-gateway</x:v>
      </x:c>
      <x:c r="K114" s="14" t="str">
        <x:v>`terraform validate`</x:v>
      </x:c>
      <x:c r="L114" s="14" t="str">
        <x:v>issuer、audience、CORS origin、throttle settings</x:v>
      </x:c>
      <x:c r="M114" s="14" t="str">
        <x:v>`terraform validate`</x:v>
      </x:c>
      <x:c r="N114" s="14" t="str"/>
      <x:c r="O114" s="14" t="str"/>
      <x:c r="P114" s="14" t="str"/>
      <x:c r="Q114" s="14" t="str"/>
      <x:c r="R114" s="14" t="str">
        <x:v>request数</x:v>
      </x:c>
      <x:c r="S114" s="14" t="str">
        <x:v>JWT必須、Throttle、許可Origin限定</x:v>
      </x:c>
      <x:c r="T114" s="14" t="str">
        <x:v>route/integration/permissionを解除してdestroy</x:v>
      </x:c>
      <x:c r="U114" s="14" t="str">
        <x:v>Step 11 Spring Boot API</x:v>
      </x:c>
      <x:c r="V114" s="84" t="str">
        <x:v>未着手</x:v>
      </x:c>
      <x:c r="W114" s="14" t="str">
        <x:v>terraform validate</x:v>
      </x:c>
    </x:row>
    <x:row r="115" ht="58" customHeight="1">
      <x:c r="A115" s="14" t="n">
        <x:v>9</x:v>
      </x:c>
      <x:c r="B115" s="14" t="n">
        <x:v>6</x:v>
      </x:c>
      <x:c r="C115" s="14" t="str">
        <x:v>API公開</x:v>
      </x:c>
      <x:c r="D115" s="14" t="str">
        <x:v>Amazon API Gateway HTTP API</x:v>
      </x:c>
      <x:c r="E115" s="14" t="str">
        <x:v>JWTで保護されたHTTP APIを作成</x:v>
      </x:c>
      <x:c r="F115" s="14" t="str">
        <x:v>Step 7,8</x:v>
      </x:c>
      <x:c r="G115" s="14" t="str">
        <x:v>infra/environments/dev/40-backend</x:v>
      </x:c>
      <x:c r="H115" s="14" t="str">
        <x:v>api_gateway.tf, variables.tf, outputs.tf</x:v>
      </x:c>
      <x:c r="I115" s="14" t="str">
        <x:v>aws_apigatewayv2_api, authorizer, integration, route, stage, aws_lambda_permission</x:v>
      </x:c>
      <x:c r="J115" s="14" t="str">
        <x:v>api-gateway</x:v>
      </x:c>
      <x:c r="K115" s="14" t="str">
        <x:v>`terraform plan -out=tfplan`</x:v>
      </x:c>
      <x:c r="L115" s="14" t="str">
        <x:v>issuer、audience、CORS origin、throttle settings</x:v>
      </x:c>
      <x:c r="M115" s="14" t="str">
        <x:v>`terraform plan -out=tfplan`</x:v>
      </x:c>
      <x:c r="N115" s="14" t="str"/>
      <x:c r="O115" s="14" t="str"/>
      <x:c r="P115" s="14" t="str"/>
      <x:c r="Q115" s="14" t="str"/>
      <x:c r="R115" s="14" t="str">
        <x:v>request数</x:v>
      </x:c>
      <x:c r="S115" s="14" t="str">
        <x:v>JWT必須、Throttle、許可Origin限定</x:v>
      </x:c>
      <x:c r="T115" s="14" t="str">
        <x:v>route/integration/permissionを解除してdestroy</x:v>
      </x:c>
      <x:c r="U115" s="14" t="str">
        <x:v>Step 11 Spring Boot API</x:v>
      </x:c>
      <x:c r="V115" s="84" t="str">
        <x:v>未着手</x:v>
      </x:c>
      <x:c r="W115" s="14" t="str">
        <x:v>terraform plan</x:v>
      </x:c>
    </x:row>
    <x:row r="116" ht="58" customHeight="1">
      <x:c r="A116" s="14" t="n">
        <x:v>9</x:v>
      </x:c>
      <x:c r="B116" s="14" t="n">
        <x:v>7</x:v>
      </x:c>
      <x:c r="C116" s="14" t="str">
        <x:v>API公開</x:v>
      </x:c>
      <x:c r="D116" s="14" t="str">
        <x:v>Amazon API Gateway HTTP API</x:v>
      </x:c>
      <x:c r="E116" s="14" t="str">
        <x:v>JWTで保護されたHTTP APIを作成</x:v>
      </x:c>
      <x:c r="F116" s="14" t="str">
        <x:v>Step 7,8</x:v>
      </x:c>
      <x:c r="G116" s="14" t="str">
        <x:v>infra/environments/dev/40-backend</x:v>
      </x:c>
      <x:c r="H116" s="14" t="str">
        <x:v>api_gateway.tf, variables.tf, outputs.tf</x:v>
      </x:c>
      <x:c r="I116" s="14" t="str">
        <x:v>aws_apigatewayv2_api, authorizer, integration, route, stage, aws_lambda_permission</x:v>
      </x:c>
      <x:c r="J116" s="14" t="str">
        <x:v>api-gateway</x:v>
      </x:c>
      <x:c r="K116" s="14" t="str">
        <x:v>`terraform apply tfplan`</x:v>
      </x:c>
      <x:c r="L116" s="14" t="str">
        <x:v>issuer、audience、CORS origin、throttle settings</x:v>
      </x:c>
      <x:c r="M116" s="14" t="str">
        <x:v>`terraform apply tfplan`</x:v>
      </x:c>
      <x:c r="N116" s="14" t="str"/>
      <x:c r="O116" s="14" t="str"/>
      <x:c r="P116" s="14" t="str"/>
      <x:c r="Q116" s="14" t="str"/>
      <x:c r="R116" s="14" t="str">
        <x:v>request数</x:v>
      </x:c>
      <x:c r="S116" s="14" t="str">
        <x:v>JWT必須、Throttle、許可Origin限定</x:v>
      </x:c>
      <x:c r="T116" s="14" t="str">
        <x:v>route/integration/permissionを解除してdestroy</x:v>
      </x:c>
      <x:c r="U116" s="14" t="str">
        <x:v>Step 11 Spring Boot API</x:v>
      </x:c>
      <x:c r="V116" s="84" t="str">
        <x:v>未着手</x:v>
      </x:c>
      <x:c r="W116" s="14" t="str">
        <x:v>terraform apply</x:v>
      </x:c>
    </x:row>
    <x:row r="117" ht="58" customHeight="1">
      <x:c r="A117" s="14" t="n">
        <x:v>9</x:v>
      </x:c>
      <x:c r="B117" s="14" t="n">
        <x:v>8</x:v>
      </x:c>
      <x:c r="C117" s="14" t="str">
        <x:v>API公開</x:v>
      </x:c>
      <x:c r="D117" s="14" t="str">
        <x:v>Amazon API Gateway HTTP API</x:v>
      </x:c>
      <x:c r="E117" s="14" t="str">
        <x:v>JWTで保護されたHTTP APIを作成</x:v>
      </x:c>
      <x:c r="F117" s="14" t="str">
        <x:v>Step 7,8</x:v>
      </x:c>
      <x:c r="G117" s="14" t="str">
        <x:v>infra/environments/dev/40-backend</x:v>
      </x:c>
      <x:c r="H117" s="14" t="str">
        <x:v>api_gateway.tf, variables.tf, outputs.tf</x:v>
      </x:c>
      <x:c r="I117" s="14" t="str">
        <x:v>aws_apigatewayv2_api, authorizer, integration, route, stage, aws_lambda_permission</x:v>
      </x:c>
      <x:c r="J117" s="14" t="str">
        <x:v>api-gateway</x:v>
      </x:c>
      <x:c r="K117" s="14" t="str">
        <x:v>API Gateway ConsoleでHTTP API、route、authorizerを確認</x:v>
      </x:c>
      <x:c r="L117" s="14" t="str">
        <x:v>issuer、audience、CORS origin、throttle settings</x:v>
      </x:c>
      <x:c r="M117" s="14" t="str"/>
      <x:c r="N117" s="14" t="str">
        <x:v>API Gateway ConsoleでHTTP API、route、authorizerを確認</x:v>
      </x:c>
      <x:c r="O117" s="14" t="str"/>
      <x:c r="P117" s="14" t="str"/>
      <x:c r="Q117" s="14" t="str"/>
      <x:c r="R117" s="14" t="str">
        <x:v>request数</x:v>
      </x:c>
      <x:c r="S117" s="14" t="str">
        <x:v>JWT必須、Throttle、許可Origin限定</x:v>
      </x:c>
      <x:c r="T117" s="14" t="str">
        <x:v>route/integration/permissionを解除してdestroy</x:v>
      </x:c>
      <x:c r="U117" s="14" t="str">
        <x:v>Step 11 Spring Boot API</x:v>
      </x:c>
      <x:c r="V117" s="84" t="str">
        <x:v>未着手</x:v>
      </x:c>
      <x:c r="W117" s="14" t="str">
        <x:v>AWSリソース確認</x:v>
      </x:c>
    </x:row>
    <x:row r="118" ht="58" customHeight="1">
      <x:c r="A118" s="14" t="n">
        <x:v>9</x:v>
      </x:c>
      <x:c r="B118" s="14" t="n">
        <x:v>9</x:v>
      </x:c>
      <x:c r="C118" s="14" t="str">
        <x:v>API公開</x:v>
      </x:c>
      <x:c r="D118" s="14" t="str">
        <x:v>Amazon API Gateway HTTP API</x:v>
      </x:c>
      <x:c r="E118" s="14" t="str">
        <x:v>JWTで保護されたHTTP APIを作成</x:v>
      </x:c>
      <x:c r="F118" s="14" t="str">
        <x:v>Step 7,8</x:v>
      </x:c>
      <x:c r="G118" s="14" t="str">
        <x:v>infra/environments/dev/40-backend</x:v>
      </x:c>
      <x:c r="H118" s="14" t="str">
        <x:v>api_gateway.tf, variables.tf, outputs.tf</x:v>
      </x:c>
      <x:c r="I118" s="14" t="str">
        <x:v>aws_apigatewayv2_api, authorizer, integration, route, stage, aws_lambda_permission</x:v>
      </x:c>
      <x:c r="J118" s="14" t="str">
        <x:v>api-gateway</x:v>
      </x:c>
      <x:c r="K118" s="14" t="str">
        <x:v>tokenなし401、無効token401、有効token200</x:v>
      </x:c>
      <x:c r="L118" s="14" t="str">
        <x:v>issuer、audience、CORS origin、throttle settings</x:v>
      </x:c>
      <x:c r="M118" s="14" t="str"/>
      <x:c r="N118" s="14" t="str"/>
      <x:c r="O118" s="14" t="str">
        <x:v>tokenなし401、無効token401、有効token200</x:v>
      </x:c>
      <x:c r="P118" s="14" t="str"/>
      <x:c r="Q118" s="14" t="str"/>
      <x:c r="R118" s="14" t="str">
        <x:v>request数</x:v>
      </x:c>
      <x:c r="S118" s="14" t="str">
        <x:v>JWT必須、Throttle、許可Origin限定</x:v>
      </x:c>
      <x:c r="T118" s="14" t="str">
        <x:v>route/integration/permissionを解除してdestroy</x:v>
      </x:c>
      <x:c r="U118" s="14" t="str">
        <x:v>Step 11 Spring Boot API</x:v>
      </x:c>
      <x:c r="V118" s="84" t="str">
        <x:v>未着手</x:v>
      </x:c>
      <x:c r="W118" s="14" t="str">
        <x:v>疎通・動作確認</x:v>
      </x:c>
    </x:row>
    <x:row r="119" ht="58" customHeight="1">
      <x:c r="A119" s="14" t="n">
        <x:v>9</x:v>
      </x:c>
      <x:c r="B119" s="14" t="n">
        <x:v>10</x:v>
      </x:c>
      <x:c r="C119" s="14" t="str">
        <x:v>API公開</x:v>
      </x:c>
      <x:c r="D119" s="14" t="str">
        <x:v>Amazon API Gateway HTTP API</x:v>
      </x:c>
      <x:c r="E119" s="14" t="str">
        <x:v>JWTで保護されたHTTP APIを作成</x:v>
      </x:c>
      <x:c r="F119" s="14" t="str">
        <x:v>Step 7,8</x:v>
      </x:c>
      <x:c r="G119" s="14" t="str">
        <x:v>infra/environments/dev/40-backend</x:v>
      </x:c>
      <x:c r="H119" s="14" t="str">
        <x:v>api_gateway.tf, variables.tf, outputs.tf</x:v>
      </x:c>
      <x:c r="I119" s="14" t="str">
        <x:v>aws_apigatewayv2_api, authorizer, integration, route, stage, aws_lambda_permission</x:v>
      </x:c>
      <x:c r="J119" s="14" t="str">
        <x:v>api-gateway</x:v>
      </x:c>
      <x:c r="K119" s="14" t="str">
        <x:v>JWT検証結果がLambda eventへ渡る</x:v>
      </x:c>
      <x:c r="L119" s="14" t="str">
        <x:v>issuer、audience、CORS origin、throttle settings</x:v>
      </x:c>
      <x:c r="M119" s="14" t="str"/>
      <x:c r="N119" s="14" t="str"/>
      <x:c r="O119" s="14" t="str"/>
      <x:c r="P119" s="14" t="str">
        <x:v>JWT検証結果がLambda eventへ渡る</x:v>
      </x:c>
      <x:c r="Q119" s="14" t="str"/>
      <x:c r="R119" s="14" t="str">
        <x:v>request数</x:v>
      </x:c>
      <x:c r="S119" s="14" t="str">
        <x:v>JWT必須、Throttle、許可Origin限定</x:v>
      </x:c>
      <x:c r="T119" s="14" t="str">
        <x:v>route/integration/permissionを解除してdestroy</x:v>
      </x:c>
      <x:c r="U119" s="14" t="str">
        <x:v>Step 11 Spring Boot API</x:v>
      </x:c>
      <x:c r="V119" s="84" t="str">
        <x:v>未着手</x:v>
      </x:c>
      <x:c r="W119" s="14" t="str">
        <x:v>成功条件確認</x:v>
      </x:c>
    </x:row>
    <x:row r="120" ht="58" customHeight="1">
      <x:c r="A120" s="14" t="n">
        <x:v>9</x:v>
      </x:c>
      <x:c r="B120" s="14" t="n">
        <x:v>11</x:v>
      </x:c>
      <x:c r="C120" s="14" t="str">
        <x:v>API公開</x:v>
      </x:c>
      <x:c r="D120" s="14" t="str">
        <x:v>Amazon API Gateway HTTP API</x:v>
      </x:c>
      <x:c r="E120" s="14" t="str">
        <x:v>JWTで保護されたHTTP APIを作成</x:v>
      </x:c>
      <x:c r="F120" s="14" t="str">
        <x:v>Step 7,8</x:v>
      </x:c>
      <x:c r="G120" s="14" t="str">
        <x:v>infra/environments/dev/40-backend</x:v>
      </x:c>
      <x:c r="H120" s="14" t="str">
        <x:v>api_gateway.tf, variables.tf, outputs.tf</x:v>
      </x:c>
      <x:c r="I120" s="14" t="str">
        <x:v>aws_apigatewayv2_api, authorizer, integration, route, stage, aws_lambda_permission</x:v>
      </x:c>
      <x:c r="J120" s="14" t="str">
        <x:v>api-gateway</x:v>
      </x:c>
      <x:c r="K120" s="14" t="str">
        <x:v>issuer末尾、audience、route、permission、CORS</x:v>
      </x:c>
      <x:c r="L120" s="14" t="str">
        <x:v>issuer、audience、CORS origin、throttle settings</x:v>
      </x:c>
      <x:c r="M120" s="14" t="str"/>
      <x:c r="N120" s="14" t="str"/>
      <x:c r="O120" s="14" t="str"/>
      <x:c r="P120" s="14" t="str"/>
      <x:c r="Q120" s="14" t="str">
        <x:v>issuer末尾、audience、route、permission、CORS</x:v>
      </x:c>
      <x:c r="R120" s="14" t="str">
        <x:v>request数</x:v>
      </x:c>
      <x:c r="S120" s="14" t="str">
        <x:v>JWT必須、Throttle、許可Origin限定</x:v>
      </x:c>
      <x:c r="T120" s="14" t="str">
        <x:v>route/integration/permissionを解除してdestroy</x:v>
      </x:c>
      <x:c r="U120" s="14" t="str">
        <x:v>Step 11 Spring Boot API</x:v>
      </x:c>
      <x:c r="V120" s="84" t="str">
        <x:v>未着手</x:v>
      </x:c>
      <x:c r="W120" s="14" t="str">
        <x:v>失敗時確認</x:v>
      </x:c>
    </x:row>
    <x:row r="121" ht="58" customHeight="1">
      <x:c r="A121" s="14" t="n">
        <x:v>9</x:v>
      </x:c>
      <x:c r="B121" s="14" t="n">
        <x:v>12</x:v>
      </x:c>
      <x:c r="C121" s="14" t="str">
        <x:v>API公開</x:v>
      </x:c>
      <x:c r="D121" s="14" t="str">
        <x:v>Amazon API Gateway HTTP API</x:v>
      </x:c>
      <x:c r="E121" s="14" t="str">
        <x:v>JWTで保護されたHTTP APIを作成</x:v>
      </x:c>
      <x:c r="F121" s="14" t="str">
        <x:v>Step 7,8</x:v>
      </x:c>
      <x:c r="G121" s="14" t="str">
        <x:v>infra/environments/dev/40-backend</x:v>
      </x:c>
      <x:c r="H121" s="14" t="str">
        <x:v>api_gateway.tf, variables.tf, outputs.tf</x:v>
      </x:c>
      <x:c r="I121" s="14" t="str">
        <x:v>aws_apigatewayv2_api, authorizer, integration, route, stage, aws_lambda_permission</x:v>
      </x:c>
      <x:c r="J121" s="14" t="str">
        <x:v>api-gateway</x:v>
      </x:c>
      <x:c r="K121" s="14" t="str">
        <x:v>削除: route/integration/permissionを解除してdestroy / 次: Step 11 Spring Boot API</x:v>
      </x:c>
      <x:c r="L121" s="14" t="str">
        <x:v>issuer、audience、CORS origin、throttle settings</x:v>
      </x:c>
      <x:c r="M121" s="14" t="str"/>
      <x:c r="N121" s="14" t="str"/>
      <x:c r="O121" s="14" t="str"/>
      <x:c r="P121" s="14" t="str"/>
      <x:c r="Q121" s="14" t="str"/>
      <x:c r="R121" s="14" t="str">
        <x:v>request数</x:v>
      </x:c>
      <x:c r="S121" s="14" t="str">
        <x:v>JWT必須、Throttle、許可Origin限定</x:v>
      </x:c>
      <x:c r="T121" s="14" t="str">
        <x:v>route/integration/permissionを解除してdestroy</x:v>
      </x:c>
      <x:c r="U121" s="14" t="str">
        <x:v>Step 11 Spring Boot API</x:v>
      </x:c>
      <x:c r="V121" s="84" t="str">
        <x:v>未着手</x:v>
      </x:c>
      <x:c r="W121" s="14" t="str">
        <x:v>依存・削除確認</x:v>
      </x:c>
    </x:row>
    <x:row r="122" ht="58" customHeight="1">
      <x:c r="A122" s="14" t="n">
        <x:v>10</x:v>
      </x:c>
      <x:c r="B122" s="14" t="n">
        <x:v>1</x:v>
      </x:c>
      <x:c r="C122" s="14" t="str">
        <x:v>データベース</x:v>
      </x:c>
      <x:c r="D122" s="14" t="str">
        <x:v>Amazon RDS for PostgreSQL</x:v>
      </x:c>
      <x:c r="E122" s="14" t="str">
        <x:v>非公開DBと初回管理接続を準備</x:v>
      </x:c>
      <x:c r="F122" s="14" t="str">
        <x:v>Step 3</x:v>
      </x:c>
      <x:c r="G122" s="14" t="str">
        <x:v>infra/environments/dev/30-database</x:v>
      </x:c>
      <x:c r="H122" s="14" t="str">
        <x:v>versions.tf, backend.hcl, providers.tf, rds.tf, variables.tf, outputs.tf</x:v>
      </x:c>
      <x:c r="I122" s="14" t="str">
        <x:v>aws_db_subnet_group, aws_db_parameter_group, aws_db_instance, aws_iam_policy</x:v>
      </x:c>
      <x:c r="J122" s="14" t="str">
        <x:v>rds</x:v>
      </x:c>
      <x:c r="K122" s="14" t="str">
        <x:v>対象ファイルを作成し、resourceとmoduleの責務を分ける。</x:v>
      </x:c>
      <x:c r="L122" s="14" t="str">
        <x:v>db.t4g.micro、20GB gp3、backup_retention=7、publicly_accessible=false</x:v>
      </x:c>
      <x:c r="M122" s="14" t="str"/>
      <x:c r="N122" s="14" t="str"/>
      <x:c r="O122" s="14" t="str"/>
      <x:c r="P122" s="14" t="str"/>
      <x:c r="Q122" s="14" t="str"/>
      <x:c r="R122" s="14" t="str">
        <x:v>時間課金とstorage</x:v>
      </x:c>
      <x:c r="S122" s="14" t="str">
        <x:v>非公開、TLS、IAM DB認証</x:v>
      </x:c>
      <x:c r="T122" s="14" t="str">
        <x:v>削除保護解除、最終snapshot指定後destroy</x:v>
      </x:c>
      <x:c r="U122" s="14" t="str">
        <x:v>Step 11/14</x:v>
      </x:c>
      <x:c r="V122" s="84" t="str">
        <x:v>未着手</x:v>
      </x:c>
      <x:c r="W122" s="14" t="str">
        <x:v>対象ファイルの準備</x:v>
      </x:c>
    </x:row>
    <x:row r="123" ht="58" customHeight="1">
      <x:c r="A123" s="14" t="n">
        <x:v>10</x:v>
      </x:c>
      <x:c r="B123" s="14" t="n">
        <x:v>2</x:v>
      </x:c>
      <x:c r="C123" s="14" t="str">
        <x:v>データベース</x:v>
      </x:c>
      <x:c r="D123" s="14" t="str">
        <x:v>Amazon RDS for PostgreSQL</x:v>
      </x:c>
      <x:c r="E123" s="14" t="str">
        <x:v>非公開DBと初回管理接続を準備</x:v>
      </x:c>
      <x:c r="F123" s="14" t="str">
        <x:v>Step 3</x:v>
      </x:c>
      <x:c r="G123" s="14" t="str">
        <x:v>infra/environments/dev/30-database</x:v>
      </x:c>
      <x:c r="H123" s="14" t="str">
        <x:v>versions.tf, backend.hcl, providers.tf, rds.tf, variables.tf, outputs.tf</x:v>
      </x:c>
      <x:c r="I123" s="14" t="str">
        <x:v>aws_db_subnet_group, aws_db_parameter_group, aws_db_instance, aws_iam_policy</x:v>
      </x:c>
      <x:c r="J123" s="14" t="str">
        <x:v>rds</x:v>
      </x:c>
      <x:c r="K123" s="14" t="str">
        <x:v>非機密値だけをtfvarsまたは環境変数へ設定する。</x:v>
      </x:c>
      <x:c r="L123" s="14" t="str">
        <x:v>db.t4g.micro、20GB gp3、backup_retention=7、publicly_accessible=false</x:v>
      </x:c>
      <x:c r="M123" s="14" t="str"/>
      <x:c r="N123" s="14" t="str"/>
      <x:c r="O123" s="14" t="str"/>
      <x:c r="P123" s="14" t="str"/>
      <x:c r="Q123" s="14" t="str"/>
      <x:c r="R123" s="14" t="str">
        <x:v>時間課金とstorage</x:v>
      </x:c>
      <x:c r="S123" s="14" t="str">
        <x:v>非公開、TLS、IAM DB認証</x:v>
      </x:c>
      <x:c r="T123" s="14" t="str">
        <x:v>削除保護解除、最終snapshot指定後destroy</x:v>
      </x:c>
      <x:c r="U123" s="14" t="str">
        <x:v>Step 11/14</x:v>
      </x:c>
      <x:c r="V123" s="84" t="str">
        <x:v>未着手</x:v>
      </x:c>
      <x:c r="W123" s="14" t="str">
        <x:v>設定値の準備</x:v>
      </x:c>
    </x:row>
    <x:row r="124" ht="58" customHeight="1">
      <x:c r="A124" s="14" t="n">
        <x:v>10</x:v>
      </x:c>
      <x:c r="B124" s="14" t="n">
        <x:v>3</x:v>
      </x:c>
      <x:c r="C124" s="14" t="str">
        <x:v>データベース</x:v>
      </x:c>
      <x:c r="D124" s="14" t="str">
        <x:v>Amazon RDS for PostgreSQL</x:v>
      </x:c>
      <x:c r="E124" s="14" t="str">
        <x:v>非公開DBと初回管理接続を準備</x:v>
      </x:c>
      <x:c r="F124" s="14" t="str">
        <x:v>Step 3</x:v>
      </x:c>
      <x:c r="G124" s="14" t="str">
        <x:v>infra/environments/dev/30-database</x:v>
      </x:c>
      <x:c r="H124" s="14" t="str">
        <x:v>versions.tf, backend.hcl, providers.tf, rds.tf, variables.tf, outputs.tf</x:v>
      </x:c>
      <x:c r="I124" s="14" t="str">
        <x:v>aws_db_subnet_group, aws_db_parameter_group, aws_db_instance, aws_iam_policy</x:v>
      </x:c>
      <x:c r="J124" s="14" t="str">
        <x:v>rds</x:v>
      </x:c>
      <x:c r="K124" s="14" t="str">
        <x:v>HCLファイルを自動整形する。</x:v>
      </x:c>
      <x:c r="L124" s="14" t="str">
        <x:v>db.t4g.micro、20GB gp3、backup_retention=7、publicly_accessible=false</x:v>
      </x:c>
      <x:c r="M124" s="14" t="str">
        <x:v>`terraform fmt -recursive`</x:v>
      </x:c>
      <x:c r="N124" s="14" t="str"/>
      <x:c r="O124" s="14" t="str"/>
      <x:c r="P124" s="14" t="str"/>
      <x:c r="Q124" s="14" t="str"/>
      <x:c r="R124" s="14" t="str">
        <x:v>時間課金とstorage</x:v>
      </x:c>
      <x:c r="S124" s="14" t="str">
        <x:v>非公開、TLS、IAM DB認証</x:v>
      </x:c>
      <x:c r="T124" s="14" t="str">
        <x:v>削除保護解除、最終snapshot指定後destroy</x:v>
      </x:c>
      <x:c r="U124" s="14" t="str">
        <x:v>Step 11/14</x:v>
      </x:c>
      <x:c r="V124" s="84" t="str">
        <x:v>未着手</x:v>
      </x:c>
      <x:c r="W124" s="14" t="str">
        <x:v>terraform fmt</x:v>
      </x:c>
    </x:row>
    <x:row r="125" ht="58" customHeight="1">
      <x:c r="A125" s="14" t="n">
        <x:v>10</x:v>
      </x:c>
      <x:c r="B125" s="14" t="n">
        <x:v>4</x:v>
      </x:c>
      <x:c r="C125" s="14" t="str">
        <x:v>データベース</x:v>
      </x:c>
      <x:c r="D125" s="14" t="str">
        <x:v>Amazon RDS for PostgreSQL</x:v>
      </x:c>
      <x:c r="E125" s="14" t="str">
        <x:v>非公開DBと初回管理接続を準備</x:v>
      </x:c>
      <x:c r="F125" s="14" t="str">
        <x:v>Step 3</x:v>
      </x:c>
      <x:c r="G125" s="14" t="str">
        <x:v>infra/environments/dev/30-database</x:v>
      </x:c>
      <x:c r="H125" s="14" t="str">
        <x:v>versions.tf, backend.hcl, providers.tf, rds.tf, variables.tf, outputs.tf</x:v>
      </x:c>
      <x:c r="I125" s="14" t="str">
        <x:v>aws_db_subnet_group, aws_db_parameter_group, aws_db_instance, aws_iam_policy</x:v>
      </x:c>
      <x:c r="J125" s="14" t="str">
        <x:v>rds</x:v>
      </x:c>
      <x:c r="K125" s="14" t="str">
        <x:v>backend、Provider、moduleを初期化する。</x:v>
      </x:c>
      <x:c r="L125" s="14" t="str">
        <x:v>db.t4g.micro、20GB gp3、backup_retention=7、publicly_accessible=false</x:v>
      </x:c>
      <x:c r="M125" s="14" t="str">
        <x:v>新root stackのためinit必要。</x:v>
      </x:c>
      <x:c r="N125" s="14" t="str"/>
      <x:c r="O125" s="14" t="str"/>
      <x:c r="P125" s="14" t="str"/>
      <x:c r="Q125" s="14" t="str"/>
      <x:c r="R125" s="14" t="str">
        <x:v>時間課金とstorage</x:v>
      </x:c>
      <x:c r="S125" s="14" t="str">
        <x:v>非公開、TLS、IAM DB認証</x:v>
      </x:c>
      <x:c r="T125" s="14" t="str">
        <x:v>削除保護解除、最終snapshot指定後destroy</x:v>
      </x:c>
      <x:c r="U125" s="14" t="str">
        <x:v>Step 11/14</x:v>
      </x:c>
      <x:c r="V125" s="84" t="str">
        <x:v>未着手</x:v>
      </x:c>
      <x:c r="W125" s="14" t="str">
        <x:v>terraform init</x:v>
      </x:c>
    </x:row>
    <x:row r="126" ht="58" customHeight="1">
      <x:c r="A126" s="14" t="n">
        <x:v>10</x:v>
      </x:c>
      <x:c r="B126" s="14" t="n">
        <x:v>5</x:v>
      </x:c>
      <x:c r="C126" s="14" t="str">
        <x:v>データベース</x:v>
      </x:c>
      <x:c r="D126" s="14" t="str">
        <x:v>Amazon RDS for PostgreSQL</x:v>
      </x:c>
      <x:c r="E126" s="14" t="str">
        <x:v>非公開DBと初回管理接続を準備</x:v>
      </x:c>
      <x:c r="F126" s="14" t="str">
        <x:v>Step 3</x:v>
      </x:c>
      <x:c r="G126" s="14" t="str">
        <x:v>infra/environments/dev/30-database</x:v>
      </x:c>
      <x:c r="H126" s="14" t="str">
        <x:v>versions.tf, backend.hcl, providers.tf, rds.tf, variables.tf, outputs.tf</x:v>
      </x:c>
      <x:c r="I126" s="14" t="str">
        <x:v>aws_db_subnet_group, aws_db_parameter_group, aws_db_instance, aws_iam_policy</x:v>
      </x:c>
      <x:c r="J126" s="14" t="str">
        <x:v>rds</x:v>
      </x:c>
      <x:c r="K126" s="14" t="str">
        <x:v>`terraform validate`</x:v>
      </x:c>
      <x:c r="L126" s="14" t="str">
        <x:v>db.t4g.micro、20GB gp3、backup_retention=7、publicly_accessible=false</x:v>
      </x:c>
      <x:c r="M126" s="14" t="str">
        <x:v>`terraform validate`</x:v>
      </x:c>
      <x:c r="N126" s="14" t="str"/>
      <x:c r="O126" s="14" t="str"/>
      <x:c r="P126" s="14" t="str"/>
      <x:c r="Q126" s="14" t="str"/>
      <x:c r="R126" s="14" t="str">
        <x:v>時間課金とstorage</x:v>
      </x:c>
      <x:c r="S126" s="14" t="str">
        <x:v>非公開、TLS、IAM DB認証</x:v>
      </x:c>
      <x:c r="T126" s="14" t="str">
        <x:v>削除保護解除、最終snapshot指定後destroy</x:v>
      </x:c>
      <x:c r="U126" s="14" t="str">
        <x:v>Step 11/14</x:v>
      </x:c>
      <x:c r="V126" s="84" t="str">
        <x:v>未着手</x:v>
      </x:c>
      <x:c r="W126" s="14" t="str">
        <x:v>terraform validate</x:v>
      </x:c>
    </x:row>
    <x:row r="127" ht="58" customHeight="1">
      <x:c r="A127" s="14" t="n">
        <x:v>10</x:v>
      </x:c>
      <x:c r="B127" s="14" t="n">
        <x:v>6</x:v>
      </x:c>
      <x:c r="C127" s="14" t="str">
        <x:v>データベース</x:v>
      </x:c>
      <x:c r="D127" s="14" t="str">
        <x:v>Amazon RDS for PostgreSQL</x:v>
      </x:c>
      <x:c r="E127" s="14" t="str">
        <x:v>非公開DBと初回管理接続を準備</x:v>
      </x:c>
      <x:c r="F127" s="14" t="str">
        <x:v>Step 3</x:v>
      </x:c>
      <x:c r="G127" s="14" t="str">
        <x:v>infra/environments/dev/30-database</x:v>
      </x:c>
      <x:c r="H127" s="14" t="str">
        <x:v>versions.tf, backend.hcl, providers.tf, rds.tf, variables.tf, outputs.tf</x:v>
      </x:c>
      <x:c r="I127" s="14" t="str">
        <x:v>aws_db_subnet_group, aws_db_parameter_group, aws_db_instance, aws_iam_policy</x:v>
      </x:c>
      <x:c r="J127" s="14" t="str">
        <x:v>rds</x:v>
      </x:c>
      <x:c r="K127" s="14" t="str">
        <x:v>`terraform plan -out=tfplan`</x:v>
      </x:c>
      <x:c r="L127" s="14" t="str">
        <x:v>db.t4g.micro、20GB gp3、backup_retention=7、publicly_accessible=false</x:v>
      </x:c>
      <x:c r="M127" s="14" t="str">
        <x:v>`terraform plan -out=tfplan`</x:v>
      </x:c>
      <x:c r="N127" s="14" t="str"/>
      <x:c r="O127" s="14" t="str"/>
      <x:c r="P127" s="14" t="str"/>
      <x:c r="Q127" s="14" t="str"/>
      <x:c r="R127" s="14" t="str">
        <x:v>時間課金とstorage</x:v>
      </x:c>
      <x:c r="S127" s="14" t="str">
        <x:v>非公開、TLS、IAM DB認証</x:v>
      </x:c>
      <x:c r="T127" s="14" t="str">
        <x:v>削除保護解除、最終snapshot指定後destroy</x:v>
      </x:c>
      <x:c r="U127" s="14" t="str">
        <x:v>Step 11/14</x:v>
      </x:c>
      <x:c r="V127" s="84" t="str">
        <x:v>未着手</x:v>
      </x:c>
      <x:c r="W127" s="14" t="str">
        <x:v>terraform plan</x:v>
      </x:c>
    </x:row>
    <x:row r="128" ht="58" customHeight="1">
      <x:c r="A128" s="14" t="n">
        <x:v>10</x:v>
      </x:c>
      <x:c r="B128" s="14" t="n">
        <x:v>7</x:v>
      </x:c>
      <x:c r="C128" s="14" t="str">
        <x:v>データベース</x:v>
      </x:c>
      <x:c r="D128" s="14" t="str">
        <x:v>Amazon RDS for PostgreSQL</x:v>
      </x:c>
      <x:c r="E128" s="14" t="str">
        <x:v>非公開DBと初回管理接続を準備</x:v>
      </x:c>
      <x:c r="F128" s="14" t="str">
        <x:v>Step 3</x:v>
      </x:c>
      <x:c r="G128" s="14" t="str">
        <x:v>infra/environments/dev/30-database</x:v>
      </x:c>
      <x:c r="H128" s="14" t="str">
        <x:v>versions.tf, backend.hcl, providers.tf, rds.tf, variables.tf, outputs.tf</x:v>
      </x:c>
      <x:c r="I128" s="14" t="str">
        <x:v>aws_db_subnet_group, aws_db_parameter_group, aws_db_instance, aws_iam_policy</x:v>
      </x:c>
      <x:c r="J128" s="14" t="str">
        <x:v>rds</x:v>
      </x:c>
      <x:c r="K128" s="14" t="str">
        <x:v>`terraform apply tfplan`</x:v>
      </x:c>
      <x:c r="L128" s="14" t="str">
        <x:v>db.t4g.micro、20GB gp3、backup_retention=7、publicly_accessible=false</x:v>
      </x:c>
      <x:c r="M128" s="14" t="str">
        <x:v>`terraform apply tfplan`</x:v>
      </x:c>
      <x:c r="N128" s="14" t="str"/>
      <x:c r="O128" s="14" t="str"/>
      <x:c r="P128" s="14" t="str"/>
      <x:c r="Q128" s="14" t="str"/>
      <x:c r="R128" s="14" t="str">
        <x:v>時間課金とstorage</x:v>
      </x:c>
      <x:c r="S128" s="14" t="str">
        <x:v>非公開、TLS、IAM DB認証</x:v>
      </x:c>
      <x:c r="T128" s="14" t="str">
        <x:v>削除保護解除、最終snapshot指定後destroy</x:v>
      </x:c>
      <x:c r="U128" s="14" t="str">
        <x:v>Step 11/14</x:v>
      </x:c>
      <x:c r="V128" s="84" t="str">
        <x:v>未着手</x:v>
      </x:c>
      <x:c r="W128" s="14" t="str">
        <x:v>terraform apply</x:v>
      </x:c>
    </x:row>
    <x:row r="129" ht="58" customHeight="1">
      <x:c r="A129" s="14" t="n">
        <x:v>10</x:v>
      </x:c>
      <x:c r="B129" s="14" t="n">
        <x:v>8</x:v>
      </x:c>
      <x:c r="C129" s="14" t="str">
        <x:v>データベース</x:v>
      </x:c>
      <x:c r="D129" s="14" t="str">
        <x:v>Amazon RDS for PostgreSQL</x:v>
      </x:c>
      <x:c r="E129" s="14" t="str">
        <x:v>非公開DBと初回管理接続を準備</x:v>
      </x:c>
      <x:c r="F129" s="14" t="str">
        <x:v>Step 3</x:v>
      </x:c>
      <x:c r="G129" s="14" t="str">
        <x:v>infra/environments/dev/30-database</x:v>
      </x:c>
      <x:c r="H129" s="14" t="str">
        <x:v>versions.tf, backend.hcl, providers.tf, rds.tf, variables.tf, outputs.tf</x:v>
      </x:c>
      <x:c r="I129" s="14" t="str">
        <x:v>aws_db_subnet_group, aws_db_parameter_group, aws_db_instance, aws_iam_policy</x:v>
      </x:c>
      <x:c r="J129" s="14" t="str">
        <x:v>rds</x:v>
      </x:c>
      <x:c r="K129" s="14" t="str">
        <x:v>RDS ConsoleでClass、Subnet、SG、暗号化、backupを確認</x:v>
      </x:c>
      <x:c r="L129" s="14" t="str">
        <x:v>db.t4g.micro、20GB gp3、backup_retention=7、publicly_accessible=false</x:v>
      </x:c>
      <x:c r="M129" s="14" t="str"/>
      <x:c r="N129" s="14" t="str">
        <x:v>RDS ConsoleでClass、Subnet、SG、暗号化、backupを確認</x:v>
      </x:c>
      <x:c r="O129" s="14" t="str"/>
      <x:c r="P129" s="14" t="str"/>
      <x:c r="Q129" s="14" t="str"/>
      <x:c r="R129" s="14" t="str">
        <x:v>時間課金とstorage</x:v>
      </x:c>
      <x:c r="S129" s="14" t="str">
        <x:v>非公開、TLS、IAM DB認証</x:v>
      </x:c>
      <x:c r="T129" s="14" t="str">
        <x:v>削除保護解除、最終snapshot指定後destroy</x:v>
      </x:c>
      <x:c r="U129" s="14" t="str">
        <x:v>Step 11/14</x:v>
      </x:c>
      <x:c r="V129" s="84" t="str">
        <x:v>未着手</x:v>
      </x:c>
      <x:c r="W129" s="14" t="str">
        <x:v>AWSリソース確認</x:v>
      </x:c>
    </x:row>
    <x:row r="130" ht="58" customHeight="1">
      <x:c r="A130" s="14" t="n">
        <x:v>10</x:v>
      </x:c>
      <x:c r="B130" s="14" t="n">
        <x:v>9</x:v>
      </x:c>
      <x:c r="C130" s="14" t="str">
        <x:v>データベース</x:v>
      </x:c>
      <x:c r="D130" s="14" t="str">
        <x:v>Amazon RDS for PostgreSQL</x:v>
      </x:c>
      <x:c r="E130" s="14" t="str">
        <x:v>非公開DBと初回管理接続を準備</x:v>
      </x:c>
      <x:c r="F130" s="14" t="str">
        <x:v>Step 3</x:v>
      </x:c>
      <x:c r="G130" s="14" t="str">
        <x:v>infra/environments/dev/30-database</x:v>
      </x:c>
      <x:c r="H130" s="14" t="str">
        <x:v>versions.tf, backend.hcl, providers.tf, rds.tf, variables.tf, outputs.tf</x:v>
      </x:c>
      <x:c r="I130" s="14" t="str">
        <x:v>aws_db_subnet_group, aws_db_parameter_group, aws_db_instance, aws_iam_policy</x:v>
      </x:c>
      <x:c r="J130" s="14" t="str">
        <x:v>rds</x:v>
      </x:c>
      <x:c r="K130" s="14" t="str">
        <x:v>VPC内migration LambdaからTLS/IAM認証接続</x:v>
      </x:c>
      <x:c r="L130" s="14" t="str">
        <x:v>db.t4g.micro、20GB gp3、backup_retention=7、publicly_accessible=false</x:v>
      </x:c>
      <x:c r="M130" s="14" t="str"/>
      <x:c r="N130" s="14" t="str"/>
      <x:c r="O130" s="14" t="str">
        <x:v>VPC内migration LambdaからTLS/IAM認証接続</x:v>
      </x:c>
      <x:c r="P130" s="14" t="str"/>
      <x:c r="Q130" s="14" t="str"/>
      <x:c r="R130" s="14" t="str">
        <x:v>時間課金とstorage</x:v>
      </x:c>
      <x:c r="S130" s="14" t="str">
        <x:v>非公開、TLS、IAM DB認証</x:v>
      </x:c>
      <x:c r="T130" s="14" t="str">
        <x:v>削除保護解除、最終snapshot指定後destroy</x:v>
      </x:c>
      <x:c r="U130" s="14" t="str">
        <x:v>Step 11/14</x:v>
      </x:c>
      <x:c r="V130" s="84" t="str">
        <x:v>未着手</x:v>
      </x:c>
      <x:c r="W130" s="14" t="str">
        <x:v>疎通・動作確認</x:v>
      </x:c>
    </x:row>
    <x:row r="131" ht="58" customHeight="1">
      <x:c r="A131" s="14" t="n">
        <x:v>10</x:v>
      </x:c>
      <x:c r="B131" s="14" t="n">
        <x:v>10</x:v>
      </x:c>
      <x:c r="C131" s="14" t="str">
        <x:v>データベース</x:v>
      </x:c>
      <x:c r="D131" s="14" t="str">
        <x:v>Amazon RDS for PostgreSQL</x:v>
      </x:c>
      <x:c r="E131" s="14" t="str">
        <x:v>非公開DBと初回管理接続を準備</x:v>
      </x:c>
      <x:c r="F131" s="14" t="str">
        <x:v>Step 3</x:v>
      </x:c>
      <x:c r="G131" s="14" t="str">
        <x:v>infra/environments/dev/30-database</x:v>
      </x:c>
      <x:c r="H131" s="14" t="str">
        <x:v>versions.tf, backend.hcl, providers.tf, rds.tf, variables.tf, outputs.tf</x:v>
      </x:c>
      <x:c r="I131" s="14" t="str">
        <x:v>aws_db_subnet_group, aws_db_parameter_group, aws_db_instance, aws_iam_policy</x:v>
      </x:c>
      <x:c r="J131" s="14" t="str">
        <x:v>rds</x:v>
      </x:c>
      <x:c r="K131" s="14" t="str">
        <x:v>外部接続不可、VPC内接続成功</x:v>
      </x:c>
      <x:c r="L131" s="14" t="str">
        <x:v>db.t4g.micro、20GB gp3、backup_retention=7、publicly_accessible=false</x:v>
      </x:c>
      <x:c r="M131" s="14" t="str"/>
      <x:c r="N131" s="14" t="str"/>
      <x:c r="O131" s="14" t="str"/>
      <x:c r="P131" s="14" t="str">
        <x:v>外部接続不可、VPC内接続成功</x:v>
      </x:c>
      <x:c r="Q131" s="14" t="str"/>
      <x:c r="R131" s="14" t="str">
        <x:v>時間課金とstorage</x:v>
      </x:c>
      <x:c r="S131" s="14" t="str">
        <x:v>非公開、TLS、IAM DB認証</x:v>
      </x:c>
      <x:c r="T131" s="14" t="str">
        <x:v>削除保護解除、最終snapshot指定後destroy</x:v>
      </x:c>
      <x:c r="U131" s="14" t="str">
        <x:v>Step 11/14</x:v>
      </x:c>
      <x:c r="V131" s="84" t="str">
        <x:v>未着手</x:v>
      </x:c>
      <x:c r="W131" s="14" t="str">
        <x:v>成功条件確認</x:v>
      </x:c>
    </x:row>
    <x:row r="132" ht="58" customHeight="1">
      <x:c r="A132" s="14" t="n">
        <x:v>10</x:v>
      </x:c>
      <x:c r="B132" s="14" t="n">
        <x:v>11</x:v>
      </x:c>
      <x:c r="C132" s="14" t="str">
        <x:v>データベース</x:v>
      </x:c>
      <x:c r="D132" s="14" t="str">
        <x:v>Amazon RDS for PostgreSQL</x:v>
      </x:c>
      <x:c r="E132" s="14" t="str">
        <x:v>非公開DBと初回管理接続を準備</x:v>
      </x:c>
      <x:c r="F132" s="14" t="str">
        <x:v>Step 3</x:v>
      </x:c>
      <x:c r="G132" s="14" t="str">
        <x:v>infra/environments/dev/30-database</x:v>
      </x:c>
      <x:c r="H132" s="14" t="str">
        <x:v>versions.tf, backend.hcl, providers.tf, rds.tf, variables.tf, outputs.tf</x:v>
      </x:c>
      <x:c r="I132" s="14" t="str">
        <x:v>aws_db_subnet_group, aws_db_parameter_group, aws_db_instance, aws_iam_policy</x:v>
      </x:c>
      <x:c r="J132" s="14" t="str">
        <x:v>rds</x:v>
      </x:c>
      <x:c r="K132" s="14" t="str">
        <x:v>SG、Subnet Group、CA、IAM DB Auth、secret endpoint</x:v>
      </x:c>
      <x:c r="L132" s="14" t="str">
        <x:v>db.t4g.micro、20GB gp3、backup_retention=7、publicly_accessible=false</x:v>
      </x:c>
      <x:c r="M132" s="14" t="str"/>
      <x:c r="N132" s="14" t="str"/>
      <x:c r="O132" s="14" t="str"/>
      <x:c r="P132" s="14" t="str"/>
      <x:c r="Q132" s="14" t="str">
        <x:v>SG、Subnet Group、CA、IAM DB Auth、secret endpoint</x:v>
      </x:c>
      <x:c r="R132" s="14" t="str">
        <x:v>時間課金とstorage</x:v>
      </x:c>
      <x:c r="S132" s="14" t="str">
        <x:v>非公開、TLS、IAM DB認証</x:v>
      </x:c>
      <x:c r="T132" s="14" t="str">
        <x:v>削除保護解除、最終snapshot指定後destroy</x:v>
      </x:c>
      <x:c r="U132" s="14" t="str">
        <x:v>Step 11/14</x:v>
      </x:c>
      <x:c r="V132" s="84" t="str">
        <x:v>未着手</x:v>
      </x:c>
      <x:c r="W132" s="14" t="str">
        <x:v>失敗時確認</x:v>
      </x:c>
    </x:row>
    <x:row r="133" ht="58" customHeight="1">
      <x:c r="A133" s="14" t="n">
        <x:v>10</x:v>
      </x:c>
      <x:c r="B133" s="14" t="n">
        <x:v>12</x:v>
      </x:c>
      <x:c r="C133" s="14" t="str">
        <x:v>データベース</x:v>
      </x:c>
      <x:c r="D133" s="14" t="str">
        <x:v>Amazon RDS for PostgreSQL</x:v>
      </x:c>
      <x:c r="E133" s="14" t="str">
        <x:v>非公開DBと初回管理接続を準備</x:v>
      </x:c>
      <x:c r="F133" s="14" t="str">
        <x:v>Step 3</x:v>
      </x:c>
      <x:c r="G133" s="14" t="str">
        <x:v>infra/environments/dev/30-database</x:v>
      </x:c>
      <x:c r="H133" s="14" t="str">
        <x:v>versions.tf, backend.hcl, providers.tf, rds.tf, variables.tf, outputs.tf</x:v>
      </x:c>
      <x:c r="I133" s="14" t="str">
        <x:v>aws_db_subnet_group, aws_db_parameter_group, aws_db_instance, aws_iam_policy</x:v>
      </x:c>
      <x:c r="J133" s="14" t="str">
        <x:v>rds</x:v>
      </x:c>
      <x:c r="K133" s="14" t="str">
        <x:v>削除: 削除保護解除、最終snapshot指定後destroy / 次: Step 11/14</x:v>
      </x:c>
      <x:c r="L133" s="14" t="str">
        <x:v>db.t4g.micro、20GB gp3、backup_retention=7、publicly_accessible=false</x:v>
      </x:c>
      <x:c r="M133" s="14" t="str"/>
      <x:c r="N133" s="14" t="str"/>
      <x:c r="O133" s="14" t="str"/>
      <x:c r="P133" s="14" t="str"/>
      <x:c r="Q133" s="14" t="str"/>
      <x:c r="R133" s="14" t="str">
        <x:v>時間課金とstorage</x:v>
      </x:c>
      <x:c r="S133" s="14" t="str">
        <x:v>非公開、TLS、IAM DB認証</x:v>
      </x:c>
      <x:c r="T133" s="14" t="str">
        <x:v>削除保護解除、最終snapshot指定後destroy</x:v>
      </x:c>
      <x:c r="U133" s="14" t="str">
        <x:v>Step 11/14</x:v>
      </x:c>
      <x:c r="V133" s="84" t="str">
        <x:v>未着手</x:v>
      </x:c>
      <x:c r="W133" s="14" t="str">
        <x:v>依存・削除確認</x:v>
      </x:c>
    </x:row>
    <x:row r="134" ht="58" customHeight="1">
      <x:c r="A134" s="14" t="n">
        <x:v>11</x:v>
      </x:c>
      <x:c r="B134" s="14" t="n">
        <x:v>1</x:v>
      </x:c>
      <x:c r="C134" s="14" t="str">
        <x:v>API実装</x:v>
      </x:c>
      <x:c r="D134" s="14" t="str">
        <x:v>AWS Lambda</x:v>
      </x:c>
      <x:c r="E134" s="14" t="str">
        <x:v>プロジェクトCRUDと所有者認可を実装</x:v>
      </x:c>
      <x:c r="F134" s="14" t="str">
        <x:v>Step 9,10</x:v>
      </x:c>
      <x:c r="G134" s="14" t="str">
        <x:v>infra/environments/dev/40-backend</x:v>
      </x:c>
      <x:c r="H134" s="14" t="str">
        <x:v>lambda_api.tf, api_gateway.tf, variables.tf, outputs.tf</x:v>
      </x:c>
      <x:c r="I134" s="14" t="str">
        <x:v>aws_lambda_function, aws_lambda_alias, aws_lambda_permission, aws_iam_role_policy</x:v>
      </x:c>
      <x:c r="J134" s="14" t="str">
        <x:v>lambda-api, api-gateway</x:v>
      </x:c>
      <x:c r="K134" s="14" t="str">
        <x:v>対象ファイルを作成し、resourceとmoduleの責務を分ける。</x:v>
      </x:c>
      <x:c r="L134" s="14" t="str">
        <x:v>memory=1024-1536MB、reserved_concurrency=5、SnapStart</x:v>
      </x:c>
      <x:c r="M134" s="14" t="str"/>
      <x:c r="N134" s="14" t="str"/>
      <x:c r="O134" s="14" t="str"/>
      <x:c r="P134" s="14" t="str"/>
      <x:c r="Q134" s="14" t="str"/>
      <x:c r="R134" s="14" t="str">
        <x:v>GB秒とrequest</x:v>
      </x:c>
      <x:c r="S134" s="14" t="str">
        <x:v>bodyのownerIdを無視、SQL条件へsub</x:v>
      </x:c>
      <x:c r="T134" s="14" t="str">
        <x:v>route停止後、alias/version/functionをdestroy</x:v>
      </x:c>
      <x:c r="U134" s="14" t="str">
        <x:v>Step 12、15</x:v>
      </x:c>
      <x:c r="V134" s="84" t="str">
        <x:v>未着手</x:v>
      </x:c>
      <x:c r="W134" s="14" t="str">
        <x:v>対象ファイルの準備</x:v>
      </x:c>
    </x:row>
    <x:row r="135" ht="58" customHeight="1">
      <x:c r="A135" s="14" t="n">
        <x:v>11</x:v>
      </x:c>
      <x:c r="B135" s="14" t="n">
        <x:v>2</x:v>
      </x:c>
      <x:c r="C135" s="14" t="str">
        <x:v>API実装</x:v>
      </x:c>
      <x:c r="D135" s="14" t="str">
        <x:v>AWS Lambda</x:v>
      </x:c>
      <x:c r="E135" s="14" t="str">
        <x:v>プロジェクトCRUDと所有者認可を実装</x:v>
      </x:c>
      <x:c r="F135" s="14" t="str">
        <x:v>Step 9,10</x:v>
      </x:c>
      <x:c r="G135" s="14" t="str">
        <x:v>infra/environments/dev/40-backend</x:v>
      </x:c>
      <x:c r="H135" s="14" t="str">
        <x:v>lambda_api.tf, api_gateway.tf, variables.tf, outputs.tf</x:v>
      </x:c>
      <x:c r="I135" s="14" t="str">
        <x:v>aws_lambda_function, aws_lambda_alias, aws_lambda_permission, aws_iam_role_policy</x:v>
      </x:c>
      <x:c r="J135" s="14" t="str">
        <x:v>lambda-api, api-gateway</x:v>
      </x:c>
      <x:c r="K135" s="14" t="str">
        <x:v>非機密値だけをtfvarsまたは環境変数へ設定する。</x:v>
      </x:c>
      <x:c r="L135" s="14" t="str">
        <x:v>memory=1024-1536MB、reserved_concurrency=5、SnapStart</x:v>
      </x:c>
      <x:c r="M135" s="14" t="str"/>
      <x:c r="N135" s="14" t="str"/>
      <x:c r="O135" s="14" t="str"/>
      <x:c r="P135" s="14" t="str"/>
      <x:c r="Q135" s="14" t="str"/>
      <x:c r="R135" s="14" t="str">
        <x:v>GB秒とrequest</x:v>
      </x:c>
      <x:c r="S135" s="14" t="str">
        <x:v>bodyのownerIdを無視、SQL条件へsub</x:v>
      </x:c>
      <x:c r="T135" s="14" t="str">
        <x:v>route停止後、alias/version/functionをdestroy</x:v>
      </x:c>
      <x:c r="U135" s="14" t="str">
        <x:v>Step 12、15</x:v>
      </x:c>
      <x:c r="V135" s="84" t="str">
        <x:v>未着手</x:v>
      </x:c>
      <x:c r="W135" s="14" t="str">
        <x:v>設定値の準備</x:v>
      </x:c>
    </x:row>
    <x:row r="136" ht="58" customHeight="1">
      <x:c r="A136" s="14" t="n">
        <x:v>11</x:v>
      </x:c>
      <x:c r="B136" s="14" t="n">
        <x:v>3</x:v>
      </x:c>
      <x:c r="C136" s="14" t="str">
        <x:v>API実装</x:v>
      </x:c>
      <x:c r="D136" s="14" t="str">
        <x:v>AWS Lambda</x:v>
      </x:c>
      <x:c r="E136" s="14" t="str">
        <x:v>プロジェクトCRUDと所有者認可を実装</x:v>
      </x:c>
      <x:c r="F136" s="14" t="str">
        <x:v>Step 9,10</x:v>
      </x:c>
      <x:c r="G136" s="14" t="str">
        <x:v>infra/environments/dev/40-backend</x:v>
      </x:c>
      <x:c r="H136" s="14" t="str">
        <x:v>lambda_api.tf, api_gateway.tf, variables.tf, outputs.tf</x:v>
      </x:c>
      <x:c r="I136" s="14" t="str">
        <x:v>aws_lambda_function, aws_lambda_alias, aws_lambda_permission, aws_iam_role_policy</x:v>
      </x:c>
      <x:c r="J136" s="14" t="str">
        <x:v>lambda-api, api-gateway</x:v>
      </x:c>
      <x:c r="K136" s="14" t="str">
        <x:v>HCLファイルを自動整形する。</x:v>
      </x:c>
      <x:c r="L136" s="14" t="str">
        <x:v>memory=1024-1536MB、reserved_concurrency=5、SnapStart</x:v>
      </x:c>
      <x:c r="M136" s="14" t="str">
        <x:v>`terraform fmt -recursive`</x:v>
      </x:c>
      <x:c r="N136" s="14" t="str"/>
      <x:c r="O136" s="14" t="str"/>
      <x:c r="P136" s="14" t="str"/>
      <x:c r="Q136" s="14" t="str"/>
      <x:c r="R136" s="14" t="str">
        <x:v>GB秒とrequest</x:v>
      </x:c>
      <x:c r="S136" s="14" t="str">
        <x:v>bodyのownerIdを無視、SQL条件へsub</x:v>
      </x:c>
      <x:c r="T136" s="14" t="str">
        <x:v>route停止後、alias/version/functionをdestroy</x:v>
      </x:c>
      <x:c r="U136" s="14" t="str">
        <x:v>Step 12、15</x:v>
      </x:c>
      <x:c r="V136" s="84" t="str">
        <x:v>未着手</x:v>
      </x:c>
      <x:c r="W136" s="14" t="str">
        <x:v>terraform fmt</x:v>
      </x:c>
    </x:row>
    <x:row r="137" ht="58" customHeight="1">
      <x:c r="A137" s="14" t="n">
        <x:v>11</x:v>
      </x:c>
      <x:c r="B137" s="14" t="n">
        <x:v>4</x:v>
      </x:c>
      <x:c r="C137" s="14" t="str">
        <x:v>API実装</x:v>
      </x:c>
      <x:c r="D137" s="14" t="str">
        <x:v>AWS Lambda</x:v>
      </x:c>
      <x:c r="E137" s="14" t="str">
        <x:v>プロジェクトCRUDと所有者認可を実装</x:v>
      </x:c>
      <x:c r="F137" s="14" t="str">
        <x:v>Step 9,10</x:v>
      </x:c>
      <x:c r="G137" s="14" t="str">
        <x:v>infra/environments/dev/40-backend</x:v>
      </x:c>
      <x:c r="H137" s="14" t="str">
        <x:v>lambda_api.tf, api_gateway.tf, variables.tf, outputs.tf</x:v>
      </x:c>
      <x:c r="I137" s="14" t="str">
        <x:v>aws_lambda_function, aws_lambda_alias, aws_lambda_permission, aws_iam_role_policy</x:v>
      </x:c>
      <x:c r="J137" s="14" t="str">
        <x:v>lambda-api, api-gateway</x:v>
      </x:c>
      <x:c r="K137" s="14" t="str">
        <x:v>backend、Provider、moduleを初期化する。</x:v>
      </x:c>
      <x:c r="L137" s="14" t="str">
        <x:v>memory=1024-1536MB、reserved_concurrency=5、SnapStart</x:v>
      </x:c>
      <x:c r="M137" s="14" t="str">
        <x:v>同一stack。通常不要。</x:v>
      </x:c>
      <x:c r="N137" s="14" t="str"/>
      <x:c r="O137" s="14" t="str"/>
      <x:c r="P137" s="14" t="str"/>
      <x:c r="Q137" s="14" t="str"/>
      <x:c r="R137" s="14" t="str">
        <x:v>GB秒とrequest</x:v>
      </x:c>
      <x:c r="S137" s="14" t="str">
        <x:v>bodyのownerIdを無視、SQL条件へsub</x:v>
      </x:c>
      <x:c r="T137" s="14" t="str">
        <x:v>route停止後、alias/version/functionをdestroy</x:v>
      </x:c>
      <x:c r="U137" s="14" t="str">
        <x:v>Step 12、15</x:v>
      </x:c>
      <x:c r="V137" s="84" t="str">
        <x:v>未着手</x:v>
      </x:c>
      <x:c r="W137" s="14" t="str">
        <x:v>terraform init</x:v>
      </x:c>
    </x:row>
    <x:row r="138" ht="58" customHeight="1">
      <x:c r="A138" s="14" t="n">
        <x:v>11</x:v>
      </x:c>
      <x:c r="B138" s="14" t="n">
        <x:v>5</x:v>
      </x:c>
      <x:c r="C138" s="14" t="str">
        <x:v>API実装</x:v>
      </x:c>
      <x:c r="D138" s="14" t="str">
        <x:v>AWS Lambda</x:v>
      </x:c>
      <x:c r="E138" s="14" t="str">
        <x:v>プロジェクトCRUDと所有者認可を実装</x:v>
      </x:c>
      <x:c r="F138" s="14" t="str">
        <x:v>Step 9,10</x:v>
      </x:c>
      <x:c r="G138" s="14" t="str">
        <x:v>infra/environments/dev/40-backend</x:v>
      </x:c>
      <x:c r="H138" s="14" t="str">
        <x:v>lambda_api.tf, api_gateway.tf, variables.tf, outputs.tf</x:v>
      </x:c>
      <x:c r="I138" s="14" t="str">
        <x:v>aws_lambda_function, aws_lambda_alias, aws_lambda_permission, aws_iam_role_policy</x:v>
      </x:c>
      <x:c r="J138" s="14" t="str">
        <x:v>lambda-api, api-gateway</x:v>
      </x:c>
      <x:c r="K138" s="14" t="str">
        <x:v>`terraform validate`</x:v>
      </x:c>
      <x:c r="L138" s="14" t="str">
        <x:v>memory=1024-1536MB、reserved_concurrency=5、SnapStart</x:v>
      </x:c>
      <x:c r="M138" s="14" t="str">
        <x:v>`terraform validate`</x:v>
      </x:c>
      <x:c r="N138" s="14" t="str"/>
      <x:c r="O138" s="14" t="str"/>
      <x:c r="P138" s="14" t="str"/>
      <x:c r="Q138" s="14" t="str"/>
      <x:c r="R138" s="14" t="str">
        <x:v>GB秒とrequest</x:v>
      </x:c>
      <x:c r="S138" s="14" t="str">
        <x:v>bodyのownerIdを無視、SQL条件へsub</x:v>
      </x:c>
      <x:c r="T138" s="14" t="str">
        <x:v>route停止後、alias/version/functionをdestroy</x:v>
      </x:c>
      <x:c r="U138" s="14" t="str">
        <x:v>Step 12、15</x:v>
      </x:c>
      <x:c r="V138" s="84" t="str">
        <x:v>未着手</x:v>
      </x:c>
      <x:c r="W138" s="14" t="str">
        <x:v>terraform validate</x:v>
      </x:c>
    </x:row>
    <x:row r="139" ht="58" customHeight="1">
      <x:c r="A139" s="14" t="n">
        <x:v>11</x:v>
      </x:c>
      <x:c r="B139" s="14" t="n">
        <x:v>6</x:v>
      </x:c>
      <x:c r="C139" s="14" t="str">
        <x:v>API実装</x:v>
      </x:c>
      <x:c r="D139" s="14" t="str">
        <x:v>AWS Lambda</x:v>
      </x:c>
      <x:c r="E139" s="14" t="str">
        <x:v>プロジェクトCRUDと所有者認可を実装</x:v>
      </x:c>
      <x:c r="F139" s="14" t="str">
        <x:v>Step 9,10</x:v>
      </x:c>
      <x:c r="G139" s="14" t="str">
        <x:v>infra/environments/dev/40-backend</x:v>
      </x:c>
      <x:c r="H139" s="14" t="str">
        <x:v>lambda_api.tf, api_gateway.tf, variables.tf, outputs.tf</x:v>
      </x:c>
      <x:c r="I139" s="14" t="str">
        <x:v>aws_lambda_function, aws_lambda_alias, aws_lambda_permission, aws_iam_role_policy</x:v>
      </x:c>
      <x:c r="J139" s="14" t="str">
        <x:v>lambda-api, api-gateway</x:v>
      </x:c>
      <x:c r="K139" s="14" t="str">
        <x:v>`terraform plan -out=tfplan`</x:v>
      </x:c>
      <x:c r="L139" s="14" t="str">
        <x:v>memory=1024-1536MB、reserved_concurrency=5、SnapStart</x:v>
      </x:c>
      <x:c r="M139" s="14" t="str">
        <x:v>`terraform plan -out=tfplan`</x:v>
      </x:c>
      <x:c r="N139" s="14" t="str"/>
      <x:c r="O139" s="14" t="str"/>
      <x:c r="P139" s="14" t="str"/>
      <x:c r="Q139" s="14" t="str"/>
      <x:c r="R139" s="14" t="str">
        <x:v>GB秒とrequest</x:v>
      </x:c>
      <x:c r="S139" s="14" t="str">
        <x:v>bodyのownerIdを無視、SQL条件へsub</x:v>
      </x:c>
      <x:c r="T139" s="14" t="str">
        <x:v>route停止後、alias/version/functionをdestroy</x:v>
      </x:c>
      <x:c r="U139" s="14" t="str">
        <x:v>Step 12、15</x:v>
      </x:c>
      <x:c r="V139" s="84" t="str">
        <x:v>未着手</x:v>
      </x:c>
      <x:c r="W139" s="14" t="str">
        <x:v>terraform plan</x:v>
      </x:c>
    </x:row>
    <x:row r="140" ht="58" customHeight="1">
      <x:c r="A140" s="14" t="n">
        <x:v>11</x:v>
      </x:c>
      <x:c r="B140" s="14" t="n">
        <x:v>7</x:v>
      </x:c>
      <x:c r="C140" s="14" t="str">
        <x:v>API実装</x:v>
      </x:c>
      <x:c r="D140" s="14" t="str">
        <x:v>AWS Lambda</x:v>
      </x:c>
      <x:c r="E140" s="14" t="str">
        <x:v>プロジェクトCRUDと所有者認可を実装</x:v>
      </x:c>
      <x:c r="F140" s="14" t="str">
        <x:v>Step 9,10</x:v>
      </x:c>
      <x:c r="G140" s="14" t="str">
        <x:v>infra/environments/dev/40-backend</x:v>
      </x:c>
      <x:c r="H140" s="14" t="str">
        <x:v>lambda_api.tf, api_gateway.tf, variables.tf, outputs.tf</x:v>
      </x:c>
      <x:c r="I140" s="14" t="str">
        <x:v>aws_lambda_function, aws_lambda_alias, aws_lambda_permission, aws_iam_role_policy</x:v>
      </x:c>
      <x:c r="J140" s="14" t="str">
        <x:v>lambda-api, api-gateway</x:v>
      </x:c>
      <x:c r="K140" s="14" t="str">
        <x:v>`terraform apply tfplan`</x:v>
      </x:c>
      <x:c r="L140" s="14" t="str">
        <x:v>memory=1024-1536MB、reserved_concurrency=5、SnapStart</x:v>
      </x:c>
      <x:c r="M140" s="14" t="str">
        <x:v>`terraform apply tfplan`</x:v>
      </x:c>
      <x:c r="N140" s="14" t="str"/>
      <x:c r="O140" s="14" t="str"/>
      <x:c r="P140" s="14" t="str"/>
      <x:c r="Q140" s="14" t="str"/>
      <x:c r="R140" s="14" t="str">
        <x:v>GB秒とrequest</x:v>
      </x:c>
      <x:c r="S140" s="14" t="str">
        <x:v>bodyのownerIdを無視、SQL条件へsub</x:v>
      </x:c>
      <x:c r="T140" s="14" t="str">
        <x:v>route停止後、alias/version/functionをdestroy</x:v>
      </x:c>
      <x:c r="U140" s="14" t="str">
        <x:v>Step 12、15</x:v>
      </x:c>
      <x:c r="V140" s="84" t="str">
        <x:v>未着手</x:v>
      </x:c>
      <x:c r="W140" s="14" t="str">
        <x:v>terraform apply</x:v>
      </x:c>
    </x:row>
    <x:row r="141" ht="58" customHeight="1">
      <x:c r="A141" s="14" t="n">
        <x:v>11</x:v>
      </x:c>
      <x:c r="B141" s="14" t="n">
        <x:v>8</x:v>
      </x:c>
      <x:c r="C141" s="14" t="str">
        <x:v>API実装</x:v>
      </x:c>
      <x:c r="D141" s="14" t="str">
        <x:v>AWS Lambda</x:v>
      </x:c>
      <x:c r="E141" s="14" t="str">
        <x:v>プロジェクトCRUDと所有者認可を実装</x:v>
      </x:c>
      <x:c r="F141" s="14" t="str">
        <x:v>Step 9,10</x:v>
      </x:c>
      <x:c r="G141" s="14" t="str">
        <x:v>infra/environments/dev/40-backend</x:v>
      </x:c>
      <x:c r="H141" s="14" t="str">
        <x:v>lambda_api.tf, api_gateway.tf, variables.tf, outputs.tf</x:v>
      </x:c>
      <x:c r="I141" s="14" t="str">
        <x:v>aws_lambda_function, aws_lambda_alias, aws_lambda_permission, aws_iam_role_policy</x:v>
      </x:c>
      <x:c r="J141" s="14" t="str">
        <x:v>lambda-api, api-gateway</x:v>
      </x:c>
      <x:c r="K141" s="14" t="str">
        <x:v>Lambda version/alias、VPC、SG、環境変数を確認</x:v>
      </x:c>
      <x:c r="L141" s="14" t="str">
        <x:v>memory=1024-1536MB、reserved_concurrency=5、SnapStart</x:v>
      </x:c>
      <x:c r="M141" s="14" t="str"/>
      <x:c r="N141" s="14" t="str">
        <x:v>Lambda version/alias、VPC、SG、環境変数を確認</x:v>
      </x:c>
      <x:c r="O141" s="14" t="str"/>
      <x:c r="P141" s="14" t="str"/>
      <x:c r="Q141" s="14" t="str"/>
      <x:c r="R141" s="14" t="str">
        <x:v>GB秒とrequest</x:v>
      </x:c>
      <x:c r="S141" s="14" t="str">
        <x:v>bodyのownerIdを無視、SQL条件へsub</x:v>
      </x:c>
      <x:c r="T141" s="14" t="str">
        <x:v>route停止後、alias/version/functionをdestroy</x:v>
      </x:c>
      <x:c r="U141" s="14" t="str">
        <x:v>Step 12、15</x:v>
      </x:c>
      <x:c r="V141" s="84" t="str">
        <x:v>未着手</x:v>
      </x:c>
      <x:c r="W141" s="14" t="str">
        <x:v>AWSリソース確認</x:v>
      </x:c>
    </x:row>
    <x:row r="142" ht="58" customHeight="1">
      <x:c r="A142" s="14" t="n">
        <x:v>11</x:v>
      </x:c>
      <x:c r="B142" s="14" t="n">
        <x:v>9</x:v>
      </x:c>
      <x:c r="C142" s="14" t="str">
        <x:v>API実装</x:v>
      </x:c>
      <x:c r="D142" s="14" t="str">
        <x:v>AWS Lambda</x:v>
      </x:c>
      <x:c r="E142" s="14" t="str">
        <x:v>プロジェクトCRUDと所有者認可を実装</x:v>
      </x:c>
      <x:c r="F142" s="14" t="str">
        <x:v>Step 9,10</x:v>
      </x:c>
      <x:c r="G142" s="14" t="str">
        <x:v>infra/environments/dev/40-backend</x:v>
      </x:c>
      <x:c r="H142" s="14" t="str">
        <x:v>lambda_api.tf, api_gateway.tf, variables.tf, outputs.tf</x:v>
      </x:c>
      <x:c r="I142" s="14" t="str">
        <x:v>aws_lambda_function, aws_lambda_alias, aws_lambda_permission, aws_iam_role_policy</x:v>
      </x:c>
      <x:c r="J142" s="14" t="str">
        <x:v>lambda-api, api-gateway</x:v>
      </x:c>
      <x:c r="K142" s="14" t="str">
        <x:v>ユーザーA/BでCRUDし、他人のprojectを拒否</x:v>
      </x:c>
      <x:c r="L142" s="14" t="str">
        <x:v>memory=1024-1536MB、reserved_concurrency=5、SnapStart</x:v>
      </x:c>
      <x:c r="M142" s="14" t="str"/>
      <x:c r="N142" s="14" t="str"/>
      <x:c r="O142" s="14" t="str">
        <x:v>ユーザーA/BでCRUDし、他人のprojectを拒否</x:v>
      </x:c>
      <x:c r="P142" s="14" t="str"/>
      <x:c r="Q142" s="14" t="str"/>
      <x:c r="R142" s="14" t="str">
        <x:v>GB秒とrequest</x:v>
      </x:c>
      <x:c r="S142" s="14" t="str">
        <x:v>bodyのownerIdを無視、SQL条件へsub</x:v>
      </x:c>
      <x:c r="T142" s="14" t="str">
        <x:v>route停止後、alias/version/functionをdestroy</x:v>
      </x:c>
      <x:c r="U142" s="14" t="str">
        <x:v>Step 12、15</x:v>
      </x:c>
      <x:c r="V142" s="84" t="str">
        <x:v>未着手</x:v>
      </x:c>
      <x:c r="W142" s="14" t="str">
        <x:v>疎通・動作確認</x:v>
      </x:c>
    </x:row>
    <x:row r="143" ht="58" customHeight="1">
      <x:c r="A143" s="14" t="n">
        <x:v>11</x:v>
      </x:c>
      <x:c r="B143" s="14" t="n">
        <x:v>10</x:v>
      </x:c>
      <x:c r="C143" s="14" t="str">
        <x:v>API実装</x:v>
      </x:c>
      <x:c r="D143" s="14" t="str">
        <x:v>AWS Lambda</x:v>
      </x:c>
      <x:c r="E143" s="14" t="str">
        <x:v>プロジェクトCRUDと所有者認可を実装</x:v>
      </x:c>
      <x:c r="F143" s="14" t="str">
        <x:v>Step 9,10</x:v>
      </x:c>
      <x:c r="G143" s="14" t="str">
        <x:v>infra/environments/dev/40-backend</x:v>
      </x:c>
      <x:c r="H143" s="14" t="str">
        <x:v>lambda_api.tf, api_gateway.tf, variables.tf, outputs.tf</x:v>
      </x:c>
      <x:c r="I143" s="14" t="str">
        <x:v>aws_lambda_function, aws_lambda_alias, aws_lambda_permission, aws_iam_role_policy</x:v>
      </x:c>
      <x:c r="J143" s="14" t="str">
        <x:v>lambda-api, api-gateway</x:v>
      </x:c>
      <x:c r="K143" s="14" t="str">
        <x:v>CRUD成功、sub所有権分離、DB接続数上限内</x:v>
      </x:c>
      <x:c r="L143" s="14" t="str">
        <x:v>memory=1024-1536MB、reserved_concurrency=5、SnapStart</x:v>
      </x:c>
      <x:c r="M143" s="14" t="str"/>
      <x:c r="N143" s="14" t="str"/>
      <x:c r="O143" s="14" t="str"/>
      <x:c r="P143" s="14" t="str">
        <x:v>CRUD成功、sub所有権分離、DB接続数上限内</x:v>
      </x:c>
      <x:c r="Q143" s="14" t="str"/>
      <x:c r="R143" s="14" t="str">
        <x:v>GB秒とrequest</x:v>
      </x:c>
      <x:c r="S143" s="14" t="str">
        <x:v>bodyのownerIdを無視、SQL条件へsub</x:v>
      </x:c>
      <x:c r="T143" s="14" t="str">
        <x:v>route停止後、alias/version/functionをdestroy</x:v>
      </x:c>
      <x:c r="U143" s="14" t="str">
        <x:v>Step 12、15</x:v>
      </x:c>
      <x:c r="V143" s="84" t="str">
        <x:v>未着手</x:v>
      </x:c>
      <x:c r="W143" s="14" t="str">
        <x:v>成功条件確認</x:v>
      </x:c>
    </x:row>
    <x:row r="144" ht="58" customHeight="1">
      <x:c r="A144" s="14" t="n">
        <x:v>11</x:v>
      </x:c>
      <x:c r="B144" s="14" t="n">
        <x:v>11</x:v>
      </x:c>
      <x:c r="C144" s="14" t="str">
        <x:v>API実装</x:v>
      </x:c>
      <x:c r="D144" s="14" t="str">
        <x:v>AWS Lambda</x:v>
      </x:c>
      <x:c r="E144" s="14" t="str">
        <x:v>プロジェクトCRUDと所有者認可を実装</x:v>
      </x:c>
      <x:c r="F144" s="14" t="str">
        <x:v>Step 9,10</x:v>
      </x:c>
      <x:c r="G144" s="14" t="str">
        <x:v>infra/environments/dev/40-backend</x:v>
      </x:c>
      <x:c r="H144" s="14" t="str">
        <x:v>lambda_api.tf, api_gateway.tf, variables.tf, outputs.tf</x:v>
      </x:c>
      <x:c r="I144" s="14" t="str">
        <x:v>aws_lambda_function, aws_lambda_alias, aws_lambda_permission, aws_iam_role_policy</x:v>
      </x:c>
      <x:c r="J144" s="14" t="str">
        <x:v>lambda-api, api-gateway</x:v>
      </x:c>
      <x:c r="K144" s="14" t="str">
        <x:v>Serverless Java Container、handler、SnapStart、JDBC pool、SG</x:v>
      </x:c>
      <x:c r="L144" s="14" t="str">
        <x:v>memory=1024-1536MB、reserved_concurrency=5、SnapStart</x:v>
      </x:c>
      <x:c r="M144" s="14" t="str"/>
      <x:c r="N144" s="14" t="str"/>
      <x:c r="O144" s="14" t="str"/>
      <x:c r="P144" s="14" t="str"/>
      <x:c r="Q144" s="14" t="str">
        <x:v>Serverless Java Container、handler、SnapStart、JDBC pool、SG</x:v>
      </x:c>
      <x:c r="R144" s="14" t="str">
        <x:v>GB秒とrequest</x:v>
      </x:c>
      <x:c r="S144" s="14" t="str">
        <x:v>bodyのownerIdを無視、SQL条件へsub</x:v>
      </x:c>
      <x:c r="T144" s="14" t="str">
        <x:v>route停止後、alias/version/functionをdestroy</x:v>
      </x:c>
      <x:c r="U144" s="14" t="str">
        <x:v>Step 12、15</x:v>
      </x:c>
      <x:c r="V144" s="84" t="str">
        <x:v>未着手</x:v>
      </x:c>
      <x:c r="W144" s="14" t="str">
        <x:v>失敗時確認</x:v>
      </x:c>
    </x:row>
    <x:row r="145" ht="58" customHeight="1">
      <x:c r="A145" s="14" t="n">
        <x:v>11</x:v>
      </x:c>
      <x:c r="B145" s="14" t="n">
        <x:v>12</x:v>
      </x:c>
      <x:c r="C145" s="14" t="str">
        <x:v>API実装</x:v>
      </x:c>
      <x:c r="D145" s="14" t="str">
        <x:v>AWS Lambda</x:v>
      </x:c>
      <x:c r="E145" s="14" t="str">
        <x:v>プロジェクトCRUDと所有者認可を実装</x:v>
      </x:c>
      <x:c r="F145" s="14" t="str">
        <x:v>Step 9,10</x:v>
      </x:c>
      <x:c r="G145" s="14" t="str">
        <x:v>infra/environments/dev/40-backend</x:v>
      </x:c>
      <x:c r="H145" s="14" t="str">
        <x:v>lambda_api.tf, api_gateway.tf, variables.tf, outputs.tf</x:v>
      </x:c>
      <x:c r="I145" s="14" t="str">
        <x:v>aws_lambda_function, aws_lambda_alias, aws_lambda_permission, aws_iam_role_policy</x:v>
      </x:c>
      <x:c r="J145" s="14" t="str">
        <x:v>lambda-api, api-gateway</x:v>
      </x:c>
      <x:c r="K145" s="14" t="str">
        <x:v>削除: route停止後、alias/version/functionをdestroy / 次: Step 12、15</x:v>
      </x:c>
      <x:c r="L145" s="14" t="str">
        <x:v>memory=1024-1536MB、reserved_concurrency=5、SnapStart</x:v>
      </x:c>
      <x:c r="M145" s="14" t="str"/>
      <x:c r="N145" s="14" t="str"/>
      <x:c r="O145" s="14" t="str"/>
      <x:c r="P145" s="14" t="str"/>
      <x:c r="Q145" s="14" t="str"/>
      <x:c r="R145" s="14" t="str">
        <x:v>GB秒とrequest</x:v>
      </x:c>
      <x:c r="S145" s="14" t="str">
        <x:v>bodyのownerIdを無視、SQL条件へsub</x:v>
      </x:c>
      <x:c r="T145" s="14" t="str">
        <x:v>route停止後、alias/version/functionをdestroy</x:v>
      </x:c>
      <x:c r="U145" s="14" t="str">
        <x:v>Step 12、15</x:v>
      </x:c>
      <x:c r="V145" s="84" t="str">
        <x:v>未着手</x:v>
      </x:c>
      <x:c r="W145" s="14" t="str">
        <x:v>依存・削除確認</x:v>
      </x:c>
    </x:row>
    <x:row r="146" ht="58" customHeight="1">
      <x:c r="A146" s="14" t="n">
        <x:v>12</x:v>
      </x:c>
      <x:c r="B146" s="14" t="n">
        <x:v>1</x:v>
      </x:c>
      <x:c r="C146" s="14" t="str">
        <x:v>ファイル転送</x:v>
      </x:c>
      <x:c r="D146" s="14" t="str">
        <x:v>Amazon S3署名付きURL</x:v>
      </x:c>
      <x:c r="E146" s="14" t="str">
        <x:v>音声をブラウザからS3へ直接アップロード</x:v>
      </x:c>
      <x:c r="F146" s="14" t="str">
        <x:v>Step 5,11</x:v>
      </x:c>
      <x:c r="G146" s="14" t="str">
        <x:v>infra/environments/dev/40-backend</x:v>
      </x:c>
      <x:c r="H146" s="14" t="str">
        <x:v>presigned_upload.tf, lambda_api.tf, application設定</x:v>
      </x:c>
      <x:c r="I146" s="14" t="str">
        <x:v>aws_iam_policy, aws_iam_role_policy_attachment</x:v>
      </x:c>
      <x:c r="J146" s="14" t="str">
        <x:v>lambda-api</x:v>
      </x:c>
      <x:c r="K146" s="14" t="str">
        <x:v>対象ファイルを作成し、resourceとmoduleの責務を分ける。</x:v>
      </x:c>
      <x:c r="L146" s="14" t="str">
        <x:v>expiry=300-900秒、max_upload_size、allowed_content_types</x:v>
      </x:c>
      <x:c r="M146" s="14" t="str"/>
      <x:c r="N146" s="14" t="str"/>
      <x:c r="O146" s="14" t="str"/>
      <x:c r="P146" s="14" t="str"/>
      <x:c r="Q146" s="14" t="str"/>
      <x:c r="R146" s="14" t="str">
        <x:v>S3 requestと転送</x:v>
      </x:c>
      <x:c r="S146" s="14" t="str">
        <x:v>URLをログへ出さず短期化、checksum検証</x:v>
      </x:c>
      <x:c r="T146" s="14" t="str">
        <x:v>IAM policyとAPI設定を戻しtest object削除</x:v>
      </x:c>
      <x:c r="U146" s="14" t="str">
        <x:v>Step 13</x:v>
      </x:c>
      <x:c r="V146" s="84" t="str">
        <x:v>未着手</x:v>
      </x:c>
      <x:c r="W146" s="14" t="str">
        <x:v>対象ファイルの準備</x:v>
      </x:c>
    </x:row>
    <x:row r="147" ht="58" customHeight="1">
      <x:c r="A147" s="14" t="n">
        <x:v>12</x:v>
      </x:c>
      <x:c r="B147" s="14" t="n">
        <x:v>2</x:v>
      </x:c>
      <x:c r="C147" s="14" t="str">
        <x:v>ファイル転送</x:v>
      </x:c>
      <x:c r="D147" s="14" t="str">
        <x:v>Amazon S3署名付きURL</x:v>
      </x:c>
      <x:c r="E147" s="14" t="str">
        <x:v>音声をブラウザからS3へ直接アップロード</x:v>
      </x:c>
      <x:c r="F147" s="14" t="str">
        <x:v>Step 5,11</x:v>
      </x:c>
      <x:c r="G147" s="14" t="str">
        <x:v>infra/environments/dev/40-backend</x:v>
      </x:c>
      <x:c r="H147" s="14" t="str">
        <x:v>presigned_upload.tf, lambda_api.tf, application設定</x:v>
      </x:c>
      <x:c r="I147" s="14" t="str">
        <x:v>aws_iam_policy, aws_iam_role_policy_attachment</x:v>
      </x:c>
      <x:c r="J147" s="14" t="str">
        <x:v>lambda-api</x:v>
      </x:c>
      <x:c r="K147" s="14" t="str">
        <x:v>非機密値だけをtfvarsまたは環境変数へ設定する。</x:v>
      </x:c>
      <x:c r="L147" s="14" t="str">
        <x:v>expiry=300-900秒、max_upload_size、allowed_content_types</x:v>
      </x:c>
      <x:c r="M147" s="14" t="str"/>
      <x:c r="N147" s="14" t="str"/>
      <x:c r="O147" s="14" t="str"/>
      <x:c r="P147" s="14" t="str"/>
      <x:c r="Q147" s="14" t="str"/>
      <x:c r="R147" s="14" t="str">
        <x:v>S3 requestと転送</x:v>
      </x:c>
      <x:c r="S147" s="14" t="str">
        <x:v>URLをログへ出さず短期化、checksum検証</x:v>
      </x:c>
      <x:c r="T147" s="14" t="str">
        <x:v>IAM policyとAPI設定を戻しtest object削除</x:v>
      </x:c>
      <x:c r="U147" s="14" t="str">
        <x:v>Step 13</x:v>
      </x:c>
      <x:c r="V147" s="84" t="str">
        <x:v>未着手</x:v>
      </x:c>
      <x:c r="W147" s="14" t="str">
        <x:v>設定値の準備</x:v>
      </x:c>
    </x:row>
    <x:row r="148" ht="58" customHeight="1">
      <x:c r="A148" s="14" t="n">
        <x:v>12</x:v>
      </x:c>
      <x:c r="B148" s="14" t="n">
        <x:v>3</x:v>
      </x:c>
      <x:c r="C148" s="14" t="str">
        <x:v>ファイル転送</x:v>
      </x:c>
      <x:c r="D148" s="14" t="str">
        <x:v>Amazon S3署名付きURL</x:v>
      </x:c>
      <x:c r="E148" s="14" t="str">
        <x:v>音声をブラウザからS3へ直接アップロード</x:v>
      </x:c>
      <x:c r="F148" s="14" t="str">
        <x:v>Step 5,11</x:v>
      </x:c>
      <x:c r="G148" s="14" t="str">
        <x:v>infra/environments/dev/40-backend</x:v>
      </x:c>
      <x:c r="H148" s="14" t="str">
        <x:v>presigned_upload.tf, lambda_api.tf, application設定</x:v>
      </x:c>
      <x:c r="I148" s="14" t="str">
        <x:v>aws_iam_policy, aws_iam_role_policy_attachment</x:v>
      </x:c>
      <x:c r="J148" s="14" t="str">
        <x:v>lambda-api</x:v>
      </x:c>
      <x:c r="K148" s="14" t="str">
        <x:v>HCLファイルを自動整形する。</x:v>
      </x:c>
      <x:c r="L148" s="14" t="str">
        <x:v>expiry=300-900秒、max_upload_size、allowed_content_types</x:v>
      </x:c>
      <x:c r="M148" s="14" t="str">
        <x:v>`terraform fmt -recursive`</x:v>
      </x:c>
      <x:c r="N148" s="14" t="str"/>
      <x:c r="O148" s="14" t="str"/>
      <x:c r="P148" s="14" t="str"/>
      <x:c r="Q148" s="14" t="str"/>
      <x:c r="R148" s="14" t="str">
        <x:v>S3 requestと転送</x:v>
      </x:c>
      <x:c r="S148" s="14" t="str">
        <x:v>URLをログへ出さず短期化、checksum検証</x:v>
      </x:c>
      <x:c r="T148" s="14" t="str">
        <x:v>IAM policyとAPI設定を戻しtest object削除</x:v>
      </x:c>
      <x:c r="U148" s="14" t="str">
        <x:v>Step 13</x:v>
      </x:c>
      <x:c r="V148" s="84" t="str">
        <x:v>未着手</x:v>
      </x:c>
      <x:c r="W148" s="14" t="str">
        <x:v>terraform fmt</x:v>
      </x:c>
    </x:row>
    <x:row r="149" ht="58" customHeight="1">
      <x:c r="A149" s="14" t="n">
        <x:v>12</x:v>
      </x:c>
      <x:c r="B149" s="14" t="n">
        <x:v>4</x:v>
      </x:c>
      <x:c r="C149" s="14" t="str">
        <x:v>ファイル転送</x:v>
      </x:c>
      <x:c r="D149" s="14" t="str">
        <x:v>Amazon S3署名付きURL</x:v>
      </x:c>
      <x:c r="E149" s="14" t="str">
        <x:v>音声をブラウザからS3へ直接アップロード</x:v>
      </x:c>
      <x:c r="F149" s="14" t="str">
        <x:v>Step 5,11</x:v>
      </x:c>
      <x:c r="G149" s="14" t="str">
        <x:v>infra/environments/dev/40-backend</x:v>
      </x:c>
      <x:c r="H149" s="14" t="str">
        <x:v>presigned_upload.tf, lambda_api.tf, application設定</x:v>
      </x:c>
      <x:c r="I149" s="14" t="str">
        <x:v>aws_iam_policy, aws_iam_role_policy_attachment</x:v>
      </x:c>
      <x:c r="J149" s="14" t="str">
        <x:v>lambda-api</x:v>
      </x:c>
      <x:c r="K149" s="14" t="str">
        <x:v>backend、Provider、moduleを初期化する。</x:v>
      </x:c>
      <x:c r="L149" s="14" t="str">
        <x:v>expiry=300-900秒、max_upload_size、allowed_content_types</x:v>
      </x:c>
      <x:c r="M149" s="14" t="str">
        <x:v>同一stack。通常不要。</x:v>
      </x:c>
      <x:c r="N149" s="14" t="str"/>
      <x:c r="O149" s="14" t="str"/>
      <x:c r="P149" s="14" t="str"/>
      <x:c r="Q149" s="14" t="str"/>
      <x:c r="R149" s="14" t="str">
        <x:v>S3 requestと転送</x:v>
      </x:c>
      <x:c r="S149" s="14" t="str">
        <x:v>URLをログへ出さず短期化、checksum検証</x:v>
      </x:c>
      <x:c r="T149" s="14" t="str">
        <x:v>IAM policyとAPI設定を戻しtest object削除</x:v>
      </x:c>
      <x:c r="U149" s="14" t="str">
        <x:v>Step 13</x:v>
      </x:c>
      <x:c r="V149" s="84" t="str">
        <x:v>未着手</x:v>
      </x:c>
      <x:c r="W149" s="14" t="str">
        <x:v>terraform init</x:v>
      </x:c>
    </x:row>
    <x:row r="150" ht="58" customHeight="1">
      <x:c r="A150" s="14" t="n">
        <x:v>12</x:v>
      </x:c>
      <x:c r="B150" s="14" t="n">
        <x:v>5</x:v>
      </x:c>
      <x:c r="C150" s="14" t="str">
        <x:v>ファイル転送</x:v>
      </x:c>
      <x:c r="D150" s="14" t="str">
        <x:v>Amazon S3署名付きURL</x:v>
      </x:c>
      <x:c r="E150" s="14" t="str">
        <x:v>音声をブラウザからS3へ直接アップロード</x:v>
      </x:c>
      <x:c r="F150" s="14" t="str">
        <x:v>Step 5,11</x:v>
      </x:c>
      <x:c r="G150" s="14" t="str">
        <x:v>infra/environments/dev/40-backend</x:v>
      </x:c>
      <x:c r="H150" s="14" t="str">
        <x:v>presigned_upload.tf, lambda_api.tf, application設定</x:v>
      </x:c>
      <x:c r="I150" s="14" t="str">
        <x:v>aws_iam_policy, aws_iam_role_policy_attachment</x:v>
      </x:c>
      <x:c r="J150" s="14" t="str">
        <x:v>lambda-api</x:v>
      </x:c>
      <x:c r="K150" s="14" t="str">
        <x:v>`terraform validate`</x:v>
      </x:c>
      <x:c r="L150" s="14" t="str">
        <x:v>expiry=300-900秒、max_upload_size、allowed_content_types</x:v>
      </x:c>
      <x:c r="M150" s="14" t="str">
        <x:v>`terraform validate`</x:v>
      </x:c>
      <x:c r="N150" s="14" t="str"/>
      <x:c r="O150" s="14" t="str"/>
      <x:c r="P150" s="14" t="str"/>
      <x:c r="Q150" s="14" t="str"/>
      <x:c r="R150" s="14" t="str">
        <x:v>S3 requestと転送</x:v>
      </x:c>
      <x:c r="S150" s="14" t="str">
        <x:v>URLをログへ出さず短期化、checksum検証</x:v>
      </x:c>
      <x:c r="T150" s="14" t="str">
        <x:v>IAM policyとAPI設定を戻しtest object削除</x:v>
      </x:c>
      <x:c r="U150" s="14" t="str">
        <x:v>Step 13</x:v>
      </x:c>
      <x:c r="V150" s="84" t="str">
        <x:v>未着手</x:v>
      </x:c>
      <x:c r="W150" s="14" t="str">
        <x:v>terraform validate</x:v>
      </x:c>
    </x:row>
    <x:row r="151" ht="58" customHeight="1">
      <x:c r="A151" s="14" t="n">
        <x:v>12</x:v>
      </x:c>
      <x:c r="B151" s="14" t="n">
        <x:v>6</x:v>
      </x:c>
      <x:c r="C151" s="14" t="str">
        <x:v>ファイル転送</x:v>
      </x:c>
      <x:c r="D151" s="14" t="str">
        <x:v>Amazon S3署名付きURL</x:v>
      </x:c>
      <x:c r="E151" s="14" t="str">
        <x:v>音声をブラウザからS3へ直接アップロード</x:v>
      </x:c>
      <x:c r="F151" s="14" t="str">
        <x:v>Step 5,11</x:v>
      </x:c>
      <x:c r="G151" s="14" t="str">
        <x:v>infra/environments/dev/40-backend</x:v>
      </x:c>
      <x:c r="H151" s="14" t="str">
        <x:v>presigned_upload.tf, lambda_api.tf, application設定</x:v>
      </x:c>
      <x:c r="I151" s="14" t="str">
        <x:v>aws_iam_policy, aws_iam_role_policy_attachment</x:v>
      </x:c>
      <x:c r="J151" s="14" t="str">
        <x:v>lambda-api</x:v>
      </x:c>
      <x:c r="K151" s="14" t="str">
        <x:v>`terraform plan -out=tfplan`</x:v>
      </x:c>
      <x:c r="L151" s="14" t="str">
        <x:v>expiry=300-900秒、max_upload_size、allowed_content_types</x:v>
      </x:c>
      <x:c r="M151" s="14" t="str">
        <x:v>`terraform plan -out=tfplan`</x:v>
      </x:c>
      <x:c r="N151" s="14" t="str"/>
      <x:c r="O151" s="14" t="str"/>
      <x:c r="P151" s="14" t="str"/>
      <x:c r="Q151" s="14" t="str"/>
      <x:c r="R151" s="14" t="str">
        <x:v>S3 requestと転送</x:v>
      </x:c>
      <x:c r="S151" s="14" t="str">
        <x:v>URLをログへ出さず短期化、checksum検証</x:v>
      </x:c>
      <x:c r="T151" s="14" t="str">
        <x:v>IAM policyとAPI設定を戻しtest object削除</x:v>
      </x:c>
      <x:c r="U151" s="14" t="str">
        <x:v>Step 13</x:v>
      </x:c>
      <x:c r="V151" s="84" t="str">
        <x:v>未着手</x:v>
      </x:c>
      <x:c r="W151" s="14" t="str">
        <x:v>terraform plan</x:v>
      </x:c>
    </x:row>
    <x:row r="152" ht="58" customHeight="1">
      <x:c r="A152" s="14" t="n">
        <x:v>12</x:v>
      </x:c>
      <x:c r="B152" s="14" t="n">
        <x:v>7</x:v>
      </x:c>
      <x:c r="C152" s="14" t="str">
        <x:v>ファイル転送</x:v>
      </x:c>
      <x:c r="D152" s="14" t="str">
        <x:v>Amazon S3署名付きURL</x:v>
      </x:c>
      <x:c r="E152" s="14" t="str">
        <x:v>音声をブラウザからS3へ直接アップロード</x:v>
      </x:c>
      <x:c r="F152" s="14" t="str">
        <x:v>Step 5,11</x:v>
      </x:c>
      <x:c r="G152" s="14" t="str">
        <x:v>infra/environments/dev/40-backend</x:v>
      </x:c>
      <x:c r="H152" s="14" t="str">
        <x:v>presigned_upload.tf, lambda_api.tf, application設定</x:v>
      </x:c>
      <x:c r="I152" s="14" t="str">
        <x:v>aws_iam_policy, aws_iam_role_policy_attachment</x:v>
      </x:c>
      <x:c r="J152" s="14" t="str">
        <x:v>lambda-api</x:v>
      </x:c>
      <x:c r="K152" s="14" t="str">
        <x:v>`terraform apply tfplan`</x:v>
      </x:c>
      <x:c r="L152" s="14" t="str">
        <x:v>expiry=300-900秒、max_upload_size、allowed_content_types</x:v>
      </x:c>
      <x:c r="M152" s="14" t="str">
        <x:v>`terraform apply tfplan`</x:v>
      </x:c>
      <x:c r="N152" s="14" t="str"/>
      <x:c r="O152" s="14" t="str"/>
      <x:c r="P152" s="14" t="str"/>
      <x:c r="Q152" s="14" t="str"/>
      <x:c r="R152" s="14" t="str">
        <x:v>S3 requestと転送</x:v>
      </x:c>
      <x:c r="S152" s="14" t="str">
        <x:v>URLをログへ出さず短期化、checksum検証</x:v>
      </x:c>
      <x:c r="T152" s="14" t="str">
        <x:v>IAM policyとAPI設定を戻しtest object削除</x:v>
      </x:c>
      <x:c r="U152" s="14" t="str">
        <x:v>Step 13</x:v>
      </x:c>
      <x:c r="V152" s="84" t="str">
        <x:v>未着手</x:v>
      </x:c>
      <x:c r="W152" s="14" t="str">
        <x:v>terraform apply</x:v>
      </x:c>
    </x:row>
    <x:row r="153" ht="58" customHeight="1">
      <x:c r="A153" s="14" t="n">
        <x:v>12</x:v>
      </x:c>
      <x:c r="B153" s="14" t="n">
        <x:v>8</x:v>
      </x:c>
      <x:c r="C153" s="14" t="str">
        <x:v>ファイル転送</x:v>
      </x:c>
      <x:c r="D153" s="14" t="str">
        <x:v>Amazon S3署名付きURL</x:v>
      </x:c>
      <x:c r="E153" s="14" t="str">
        <x:v>音声をブラウザからS3へ直接アップロード</x:v>
      </x:c>
      <x:c r="F153" s="14" t="str">
        <x:v>Step 5,11</x:v>
      </x:c>
      <x:c r="G153" s="14" t="str">
        <x:v>infra/environments/dev/40-backend</x:v>
      </x:c>
      <x:c r="H153" s="14" t="str">
        <x:v>presigned_upload.tf, lambda_api.tf, application設定</x:v>
      </x:c>
      <x:c r="I153" s="14" t="str">
        <x:v>aws_iam_policy, aws_iam_role_policy_attachment</x:v>
      </x:c>
      <x:c r="J153" s="14" t="str">
        <x:v>lambda-api</x:v>
      </x:c>
      <x:c r="K153" s="14" t="str">
        <x:v>Lambda Role policyが対象bucket/prefixに限定されるか確認</x:v>
      </x:c>
      <x:c r="L153" s="14" t="str">
        <x:v>expiry=300-900秒、max_upload_size、allowed_content_types</x:v>
      </x:c>
      <x:c r="M153" s="14" t="str"/>
      <x:c r="N153" s="14" t="str">
        <x:v>Lambda Role policyが対象bucket/prefixに限定されるか確認</x:v>
      </x:c>
      <x:c r="O153" s="14" t="str"/>
      <x:c r="P153" s="14" t="str"/>
      <x:c r="Q153" s="14" t="str"/>
      <x:c r="R153" s="14" t="str">
        <x:v>S3 requestと転送</x:v>
      </x:c>
      <x:c r="S153" s="14" t="str">
        <x:v>URLをログへ出さず短期化、checksum検証</x:v>
      </x:c>
      <x:c r="T153" s="14" t="str">
        <x:v>IAM policyとAPI設定を戻しtest object削除</x:v>
      </x:c>
      <x:c r="U153" s="14" t="str">
        <x:v>Step 13</x:v>
      </x:c>
      <x:c r="V153" s="84" t="str">
        <x:v>未着手</x:v>
      </x:c>
      <x:c r="W153" s="14" t="str">
        <x:v>AWSリソース確認</x:v>
      </x:c>
    </x:row>
    <x:row r="154" ht="58" customHeight="1">
      <x:c r="A154" s="14" t="n">
        <x:v>12</x:v>
      </x:c>
      <x:c r="B154" s="14" t="n">
        <x:v>9</x:v>
      </x:c>
      <x:c r="C154" s="14" t="str">
        <x:v>ファイル転送</x:v>
      </x:c>
      <x:c r="D154" s="14" t="str">
        <x:v>Amazon S3署名付きURL</x:v>
      </x:c>
      <x:c r="E154" s="14" t="str">
        <x:v>音声をブラウザからS3へ直接アップロード</x:v>
      </x:c>
      <x:c r="F154" s="14" t="str">
        <x:v>Step 5,11</x:v>
      </x:c>
      <x:c r="G154" s="14" t="str">
        <x:v>infra/environments/dev/40-backend</x:v>
      </x:c>
      <x:c r="H154" s="14" t="str">
        <x:v>presigned_upload.tf, lambda_api.tf, application設定</x:v>
      </x:c>
      <x:c r="I154" s="14" t="str">
        <x:v>aws_iam_policy, aws_iam_role_policy_attachment</x:v>
      </x:c>
      <x:c r="J154" s="14" t="str">
        <x:v>lambda-api</x:v>
      </x:c>
      <x:c r="K154" s="14" t="str">
        <x:v>有効URLでPUT成功、期限切れ・別key・匿名GET失敗</x:v>
      </x:c>
      <x:c r="L154" s="14" t="str">
        <x:v>expiry=300-900秒、max_upload_size、allowed_content_types</x:v>
      </x:c>
      <x:c r="M154" s="14" t="str"/>
      <x:c r="N154" s="14" t="str"/>
      <x:c r="O154" s="14" t="str">
        <x:v>有効URLでPUT成功、期限切れ・別key・匿名GET失敗</x:v>
      </x:c>
      <x:c r="P154" s="14" t="str"/>
      <x:c r="Q154" s="14" t="str"/>
      <x:c r="R154" s="14" t="str">
        <x:v>S3 requestと転送</x:v>
      </x:c>
      <x:c r="S154" s="14" t="str">
        <x:v>URLをログへ出さず短期化、checksum検証</x:v>
      </x:c>
      <x:c r="T154" s="14" t="str">
        <x:v>IAM policyとAPI設定を戻しtest object削除</x:v>
      </x:c>
      <x:c r="U154" s="14" t="str">
        <x:v>Step 13</x:v>
      </x:c>
      <x:c r="V154" s="84" t="str">
        <x:v>未着手</x:v>
      </x:c>
      <x:c r="W154" s="14" t="str">
        <x:v>疎通・動作確認</x:v>
      </x:c>
    </x:row>
    <x:row r="155" ht="58" customHeight="1">
      <x:c r="A155" s="14" t="n">
        <x:v>12</x:v>
      </x:c>
      <x:c r="B155" s="14" t="n">
        <x:v>10</x:v>
      </x:c>
      <x:c r="C155" s="14" t="str">
        <x:v>ファイル転送</x:v>
      </x:c>
      <x:c r="D155" s="14" t="str">
        <x:v>Amazon S3署名付きURL</x:v>
      </x:c>
      <x:c r="E155" s="14" t="str">
        <x:v>音声をブラウザからS3へ直接アップロード</x:v>
      </x:c>
      <x:c r="F155" s="14" t="str">
        <x:v>Step 5,11</x:v>
      </x:c>
      <x:c r="G155" s="14" t="str">
        <x:v>infra/environments/dev/40-backend</x:v>
      </x:c>
      <x:c r="H155" s="14" t="str">
        <x:v>presigned_upload.tf, lambda_api.tf, application設定</x:v>
      </x:c>
      <x:c r="I155" s="14" t="str">
        <x:v>aws_iam_policy, aws_iam_role_policy_attachment</x:v>
      </x:c>
      <x:c r="J155" s="14" t="str">
        <x:v>lambda-api</x:v>
      </x:c>
      <x:c r="K155" s="14" t="str">
        <x:v>RDS recordとS3 objectが一致し、第三者アクセス不可</x:v>
      </x:c>
      <x:c r="L155" s="14" t="str">
        <x:v>expiry=300-900秒、max_upload_size、allowed_content_types</x:v>
      </x:c>
      <x:c r="M155" s="14" t="str"/>
      <x:c r="N155" s="14" t="str"/>
      <x:c r="O155" s="14" t="str"/>
      <x:c r="P155" s="14" t="str">
        <x:v>RDS recordとS3 objectが一致し、第三者アクセス不可</x:v>
      </x:c>
      <x:c r="Q155" s="14" t="str"/>
      <x:c r="R155" s="14" t="str">
        <x:v>S3 requestと転送</x:v>
      </x:c>
      <x:c r="S155" s="14" t="str">
        <x:v>URLをログへ出さず短期化、checksum検証</x:v>
      </x:c>
      <x:c r="T155" s="14" t="str">
        <x:v>IAM policyとAPI設定を戻しtest object削除</x:v>
      </x:c>
      <x:c r="U155" s="14" t="str">
        <x:v>Step 13</x:v>
      </x:c>
      <x:c r="V155" s="84" t="str">
        <x:v>未着手</x:v>
      </x:c>
      <x:c r="W155" s="14" t="str">
        <x:v>成功条件確認</x:v>
      </x:c>
    </x:row>
    <x:row r="156" ht="58" customHeight="1">
      <x:c r="A156" s="14" t="n">
        <x:v>12</x:v>
      </x:c>
      <x:c r="B156" s="14" t="n">
        <x:v>11</x:v>
      </x:c>
      <x:c r="C156" s="14" t="str">
        <x:v>ファイル転送</x:v>
      </x:c>
      <x:c r="D156" s="14" t="str">
        <x:v>Amazon S3署名付きURL</x:v>
      </x:c>
      <x:c r="E156" s="14" t="str">
        <x:v>音声をブラウザからS3へ直接アップロード</x:v>
      </x:c>
      <x:c r="F156" s="14" t="str">
        <x:v>Step 5,11</x:v>
      </x:c>
      <x:c r="G156" s="14" t="str">
        <x:v>infra/environments/dev/40-backend</x:v>
      </x:c>
      <x:c r="H156" s="14" t="str">
        <x:v>presigned_upload.tf, lambda_api.tf, application設定</x:v>
      </x:c>
      <x:c r="I156" s="14" t="str">
        <x:v>aws_iam_policy, aws_iam_role_policy_attachment</x:v>
      </x:c>
      <x:c r="J156" s="14" t="str">
        <x:v>lambda-api</x:v>
      </x:c>
      <x:c r="K156" s="14" t="str">
        <x:v>CORS、clock skew、署名header、Content-Type、IAM prefix</x:v>
      </x:c>
      <x:c r="L156" s="14" t="str">
        <x:v>expiry=300-900秒、max_upload_size、allowed_content_types</x:v>
      </x:c>
      <x:c r="M156" s="14" t="str"/>
      <x:c r="N156" s="14" t="str"/>
      <x:c r="O156" s="14" t="str"/>
      <x:c r="P156" s="14" t="str"/>
      <x:c r="Q156" s="14" t="str">
        <x:v>CORS、clock skew、署名header、Content-Type、IAM prefix</x:v>
      </x:c>
      <x:c r="R156" s="14" t="str">
        <x:v>S3 requestと転送</x:v>
      </x:c>
      <x:c r="S156" s="14" t="str">
        <x:v>URLをログへ出さず短期化、checksum検証</x:v>
      </x:c>
      <x:c r="T156" s="14" t="str">
        <x:v>IAM policyとAPI設定を戻しtest object削除</x:v>
      </x:c>
      <x:c r="U156" s="14" t="str">
        <x:v>Step 13</x:v>
      </x:c>
      <x:c r="V156" s="84" t="str">
        <x:v>未着手</x:v>
      </x:c>
      <x:c r="W156" s="14" t="str">
        <x:v>失敗時確認</x:v>
      </x:c>
    </x:row>
    <x:row r="157" ht="58" customHeight="1">
      <x:c r="A157" s="14" t="n">
        <x:v>12</x:v>
      </x:c>
      <x:c r="B157" s="14" t="n">
        <x:v>12</x:v>
      </x:c>
      <x:c r="C157" s="14" t="str">
        <x:v>ファイル転送</x:v>
      </x:c>
      <x:c r="D157" s="14" t="str">
        <x:v>Amazon S3署名付きURL</x:v>
      </x:c>
      <x:c r="E157" s="14" t="str">
        <x:v>音声をブラウザからS3へ直接アップロード</x:v>
      </x:c>
      <x:c r="F157" s="14" t="str">
        <x:v>Step 5,11</x:v>
      </x:c>
      <x:c r="G157" s="14" t="str">
        <x:v>infra/environments/dev/40-backend</x:v>
      </x:c>
      <x:c r="H157" s="14" t="str">
        <x:v>presigned_upload.tf, lambda_api.tf, application設定</x:v>
      </x:c>
      <x:c r="I157" s="14" t="str">
        <x:v>aws_iam_policy, aws_iam_role_policy_attachment</x:v>
      </x:c>
      <x:c r="J157" s="14" t="str">
        <x:v>lambda-api</x:v>
      </x:c>
      <x:c r="K157" s="14" t="str">
        <x:v>削除: IAM policyとAPI設定を戻しtest object削除 / 次: Step 13</x:v>
      </x:c>
      <x:c r="L157" s="14" t="str">
        <x:v>expiry=300-900秒、max_upload_size、allowed_content_types</x:v>
      </x:c>
      <x:c r="M157" s="14" t="str"/>
      <x:c r="N157" s="14" t="str"/>
      <x:c r="O157" s="14" t="str"/>
      <x:c r="P157" s="14" t="str"/>
      <x:c r="Q157" s="14" t="str"/>
      <x:c r="R157" s="14" t="str">
        <x:v>S3 requestと転送</x:v>
      </x:c>
      <x:c r="S157" s="14" t="str">
        <x:v>URLをログへ出さず短期化、checksum検証</x:v>
      </x:c>
      <x:c r="T157" s="14" t="str">
        <x:v>IAM policyとAPI設定を戻しtest object削除</x:v>
      </x:c>
      <x:c r="U157" s="14" t="str">
        <x:v>Step 13</x:v>
      </x:c>
      <x:c r="V157" s="84" t="str">
        <x:v>未着手</x:v>
      </x:c>
      <x:c r="W157" s="14" t="str">
        <x:v>依存・削除確認</x:v>
      </x:c>
    </x:row>
    <x:row r="158" ht="58" customHeight="1">
      <x:c r="A158" s="14" t="n">
        <x:v>13</x:v>
      </x:c>
      <x:c r="B158" s="14" t="n">
        <x:v>1</x:v>
      </x:c>
      <x:c r="C158" s="14" t="str">
        <x:v>イベント連携</x:v>
      </x:c>
      <x:c r="D158" s="14" t="str">
        <x:v>Amazon S3 → Amazon SQS</x:v>
      </x:c>
      <x:c r="E158" s="14" t="str">
        <x:v>uploads/完了を処理Queueへ通知</x:v>
      </x:c>
      <x:c r="F158" s="14" t="str">
        <x:v>Step 5,6,12</x:v>
      </x:c>
      <x:c r="G158" s="14" t="str">
        <x:v>infra/environments/dev/10-storage-queue</x:v>
      </x:c>
      <x:c r="H158" s="14" t="str">
        <x:v>s3_notification.tf, sqs.tf</x:v>
      </x:c>
      <x:c r="I158" s="14" t="str">
        <x:v>aws_s3_bucket_notification, aws_sqs_queue_policy</x:v>
      </x:c>
      <x:c r="J158" s="14" t="str">
        <x:v>audio-storage, queue</x:v>
      </x:c>
      <x:c r="K158" s="14" t="str">
        <x:v>対象ファイルを作成し、resourceとmoduleの責務を分ける。</x:v>
      </x:c>
      <x:c r="L158" s="14" t="str">
        <x:v>event_prefix=uploads/、event_suffix、Queue ARN</x:v>
      </x:c>
      <x:c r="M158" s="14" t="str"/>
      <x:c r="N158" s="14" t="str"/>
      <x:c r="O158" s="14" t="str"/>
      <x:c r="P158" s="14" t="str"/>
      <x:c r="Q158" s="14" t="str"/>
      <x:c r="R158" s="14" t="str">
        <x:v>SQS/S3 request</x:v>
      </x:c>
      <x:c r="S158" s="14" t="str">
        <x:v>対象bucketからのSendMessageのみ許可</x:v>
      </x:c>
      <x:c r="T158" s="14" t="str">
        <x:v>bucket notificationを先に削除</x:v>
      </x:c>
      <x:c r="U158" s="14" t="str">
        <x:v>Step 14</x:v>
      </x:c>
      <x:c r="V158" s="84" t="str">
        <x:v>未着手</x:v>
      </x:c>
      <x:c r="W158" s="14" t="str">
        <x:v>対象ファイルの準備</x:v>
      </x:c>
    </x:row>
    <x:row r="159" ht="58" customHeight="1">
      <x:c r="A159" s="14" t="n">
        <x:v>13</x:v>
      </x:c>
      <x:c r="B159" s="14" t="n">
        <x:v>2</x:v>
      </x:c>
      <x:c r="C159" s="14" t="str">
        <x:v>イベント連携</x:v>
      </x:c>
      <x:c r="D159" s="14" t="str">
        <x:v>Amazon S3 → Amazon SQS</x:v>
      </x:c>
      <x:c r="E159" s="14" t="str">
        <x:v>uploads/完了を処理Queueへ通知</x:v>
      </x:c>
      <x:c r="F159" s="14" t="str">
        <x:v>Step 5,6,12</x:v>
      </x:c>
      <x:c r="G159" s="14" t="str">
        <x:v>infra/environments/dev/10-storage-queue</x:v>
      </x:c>
      <x:c r="H159" s="14" t="str">
        <x:v>s3_notification.tf, sqs.tf</x:v>
      </x:c>
      <x:c r="I159" s="14" t="str">
        <x:v>aws_s3_bucket_notification, aws_sqs_queue_policy</x:v>
      </x:c>
      <x:c r="J159" s="14" t="str">
        <x:v>audio-storage, queue</x:v>
      </x:c>
      <x:c r="K159" s="14" t="str">
        <x:v>非機密値だけをtfvarsまたは環境変数へ設定する。</x:v>
      </x:c>
      <x:c r="L159" s="14" t="str">
        <x:v>event_prefix=uploads/、event_suffix、Queue ARN</x:v>
      </x:c>
      <x:c r="M159" s="14" t="str"/>
      <x:c r="N159" s="14" t="str"/>
      <x:c r="O159" s="14" t="str"/>
      <x:c r="P159" s="14" t="str"/>
      <x:c r="Q159" s="14" t="str"/>
      <x:c r="R159" s="14" t="str">
        <x:v>SQS/S3 request</x:v>
      </x:c>
      <x:c r="S159" s="14" t="str">
        <x:v>対象bucketからのSendMessageのみ許可</x:v>
      </x:c>
      <x:c r="T159" s="14" t="str">
        <x:v>bucket notificationを先に削除</x:v>
      </x:c>
      <x:c r="U159" s="14" t="str">
        <x:v>Step 14</x:v>
      </x:c>
      <x:c r="V159" s="84" t="str">
        <x:v>未着手</x:v>
      </x:c>
      <x:c r="W159" s="14" t="str">
        <x:v>設定値の準備</x:v>
      </x:c>
    </x:row>
    <x:row r="160" ht="58" customHeight="1">
      <x:c r="A160" s="14" t="n">
        <x:v>13</x:v>
      </x:c>
      <x:c r="B160" s="14" t="n">
        <x:v>3</x:v>
      </x:c>
      <x:c r="C160" s="14" t="str">
        <x:v>イベント連携</x:v>
      </x:c>
      <x:c r="D160" s="14" t="str">
        <x:v>Amazon S3 → Amazon SQS</x:v>
      </x:c>
      <x:c r="E160" s="14" t="str">
        <x:v>uploads/完了を処理Queueへ通知</x:v>
      </x:c>
      <x:c r="F160" s="14" t="str">
        <x:v>Step 5,6,12</x:v>
      </x:c>
      <x:c r="G160" s="14" t="str">
        <x:v>infra/environments/dev/10-storage-queue</x:v>
      </x:c>
      <x:c r="H160" s="14" t="str">
        <x:v>s3_notification.tf, sqs.tf</x:v>
      </x:c>
      <x:c r="I160" s="14" t="str">
        <x:v>aws_s3_bucket_notification, aws_sqs_queue_policy</x:v>
      </x:c>
      <x:c r="J160" s="14" t="str">
        <x:v>audio-storage, queue</x:v>
      </x:c>
      <x:c r="K160" s="14" t="str">
        <x:v>HCLファイルを自動整形する。</x:v>
      </x:c>
      <x:c r="L160" s="14" t="str">
        <x:v>event_prefix=uploads/、event_suffix、Queue ARN</x:v>
      </x:c>
      <x:c r="M160" s="14" t="str">
        <x:v>`terraform fmt -recursive`</x:v>
      </x:c>
      <x:c r="N160" s="14" t="str"/>
      <x:c r="O160" s="14" t="str"/>
      <x:c r="P160" s="14" t="str"/>
      <x:c r="Q160" s="14" t="str"/>
      <x:c r="R160" s="14" t="str">
        <x:v>SQS/S3 request</x:v>
      </x:c>
      <x:c r="S160" s="14" t="str">
        <x:v>対象bucketからのSendMessageのみ許可</x:v>
      </x:c>
      <x:c r="T160" s="14" t="str">
        <x:v>bucket notificationを先に削除</x:v>
      </x:c>
      <x:c r="U160" s="14" t="str">
        <x:v>Step 14</x:v>
      </x:c>
      <x:c r="V160" s="84" t="str">
        <x:v>未着手</x:v>
      </x:c>
      <x:c r="W160" s="14" t="str">
        <x:v>terraform fmt</x:v>
      </x:c>
    </x:row>
    <x:row r="161" ht="58" customHeight="1">
      <x:c r="A161" s="14" t="n">
        <x:v>13</x:v>
      </x:c>
      <x:c r="B161" s="14" t="n">
        <x:v>4</x:v>
      </x:c>
      <x:c r="C161" s="14" t="str">
        <x:v>イベント連携</x:v>
      </x:c>
      <x:c r="D161" s="14" t="str">
        <x:v>Amazon S3 → Amazon SQS</x:v>
      </x:c>
      <x:c r="E161" s="14" t="str">
        <x:v>uploads/完了を処理Queueへ通知</x:v>
      </x:c>
      <x:c r="F161" s="14" t="str">
        <x:v>Step 5,6,12</x:v>
      </x:c>
      <x:c r="G161" s="14" t="str">
        <x:v>infra/environments/dev/10-storage-queue</x:v>
      </x:c>
      <x:c r="H161" s="14" t="str">
        <x:v>s3_notification.tf, sqs.tf</x:v>
      </x:c>
      <x:c r="I161" s="14" t="str">
        <x:v>aws_s3_bucket_notification, aws_sqs_queue_policy</x:v>
      </x:c>
      <x:c r="J161" s="14" t="str">
        <x:v>audio-storage, queue</x:v>
      </x:c>
      <x:c r="K161" s="14" t="str">
        <x:v>backend、Provider、moduleを初期化する。</x:v>
      </x:c>
      <x:c r="L161" s="14" t="str">
        <x:v>event_prefix=uploads/、event_suffix、Queue ARN</x:v>
      </x:c>
      <x:c r="M161" s="14" t="str">
        <x:v>同一storage stack。通常不要。</x:v>
      </x:c>
      <x:c r="N161" s="14" t="str"/>
      <x:c r="O161" s="14" t="str"/>
      <x:c r="P161" s="14" t="str"/>
      <x:c r="Q161" s="14" t="str"/>
      <x:c r="R161" s="14" t="str">
        <x:v>SQS/S3 request</x:v>
      </x:c>
      <x:c r="S161" s="14" t="str">
        <x:v>対象bucketからのSendMessageのみ許可</x:v>
      </x:c>
      <x:c r="T161" s="14" t="str">
        <x:v>bucket notificationを先に削除</x:v>
      </x:c>
      <x:c r="U161" s="14" t="str">
        <x:v>Step 14</x:v>
      </x:c>
      <x:c r="V161" s="84" t="str">
        <x:v>未着手</x:v>
      </x:c>
      <x:c r="W161" s="14" t="str">
        <x:v>terraform init</x:v>
      </x:c>
    </x:row>
    <x:row r="162" ht="58" customHeight="1">
      <x:c r="A162" s="14" t="n">
        <x:v>13</x:v>
      </x:c>
      <x:c r="B162" s="14" t="n">
        <x:v>5</x:v>
      </x:c>
      <x:c r="C162" s="14" t="str">
        <x:v>イベント連携</x:v>
      </x:c>
      <x:c r="D162" s="14" t="str">
        <x:v>Amazon S3 → Amazon SQS</x:v>
      </x:c>
      <x:c r="E162" s="14" t="str">
        <x:v>uploads/完了を処理Queueへ通知</x:v>
      </x:c>
      <x:c r="F162" s="14" t="str">
        <x:v>Step 5,6,12</x:v>
      </x:c>
      <x:c r="G162" s="14" t="str">
        <x:v>infra/environments/dev/10-storage-queue</x:v>
      </x:c>
      <x:c r="H162" s="14" t="str">
        <x:v>s3_notification.tf, sqs.tf</x:v>
      </x:c>
      <x:c r="I162" s="14" t="str">
        <x:v>aws_s3_bucket_notification, aws_sqs_queue_policy</x:v>
      </x:c>
      <x:c r="J162" s="14" t="str">
        <x:v>audio-storage, queue</x:v>
      </x:c>
      <x:c r="K162" s="14" t="str">
        <x:v>`terraform validate`</x:v>
      </x:c>
      <x:c r="L162" s="14" t="str">
        <x:v>event_prefix=uploads/、event_suffix、Queue ARN</x:v>
      </x:c>
      <x:c r="M162" s="14" t="str">
        <x:v>`terraform validate`</x:v>
      </x:c>
      <x:c r="N162" s="14" t="str"/>
      <x:c r="O162" s="14" t="str"/>
      <x:c r="P162" s="14" t="str"/>
      <x:c r="Q162" s="14" t="str"/>
      <x:c r="R162" s="14" t="str">
        <x:v>SQS/S3 request</x:v>
      </x:c>
      <x:c r="S162" s="14" t="str">
        <x:v>対象bucketからのSendMessageのみ許可</x:v>
      </x:c>
      <x:c r="T162" s="14" t="str">
        <x:v>bucket notificationを先に削除</x:v>
      </x:c>
      <x:c r="U162" s="14" t="str">
        <x:v>Step 14</x:v>
      </x:c>
      <x:c r="V162" s="84" t="str">
        <x:v>未着手</x:v>
      </x:c>
      <x:c r="W162" s="14" t="str">
        <x:v>terraform validate</x:v>
      </x:c>
    </x:row>
    <x:row r="163" ht="58" customHeight="1">
      <x:c r="A163" s="14" t="n">
        <x:v>13</x:v>
      </x:c>
      <x:c r="B163" s="14" t="n">
        <x:v>6</x:v>
      </x:c>
      <x:c r="C163" s="14" t="str">
        <x:v>イベント連携</x:v>
      </x:c>
      <x:c r="D163" s="14" t="str">
        <x:v>Amazon S3 → Amazon SQS</x:v>
      </x:c>
      <x:c r="E163" s="14" t="str">
        <x:v>uploads/完了を処理Queueへ通知</x:v>
      </x:c>
      <x:c r="F163" s="14" t="str">
        <x:v>Step 5,6,12</x:v>
      </x:c>
      <x:c r="G163" s="14" t="str">
        <x:v>infra/environments/dev/10-storage-queue</x:v>
      </x:c>
      <x:c r="H163" s="14" t="str">
        <x:v>s3_notification.tf, sqs.tf</x:v>
      </x:c>
      <x:c r="I163" s="14" t="str">
        <x:v>aws_s3_bucket_notification, aws_sqs_queue_policy</x:v>
      </x:c>
      <x:c r="J163" s="14" t="str">
        <x:v>audio-storage, queue</x:v>
      </x:c>
      <x:c r="K163" s="14" t="str">
        <x:v>`terraform plan -out=tfplan`</x:v>
      </x:c>
      <x:c r="L163" s="14" t="str">
        <x:v>event_prefix=uploads/、event_suffix、Queue ARN</x:v>
      </x:c>
      <x:c r="M163" s="14" t="str">
        <x:v>`terraform plan -out=tfplan`</x:v>
      </x:c>
      <x:c r="N163" s="14" t="str"/>
      <x:c r="O163" s="14" t="str"/>
      <x:c r="P163" s="14" t="str"/>
      <x:c r="Q163" s="14" t="str"/>
      <x:c r="R163" s="14" t="str">
        <x:v>SQS/S3 request</x:v>
      </x:c>
      <x:c r="S163" s="14" t="str">
        <x:v>対象bucketからのSendMessageのみ許可</x:v>
      </x:c>
      <x:c r="T163" s="14" t="str">
        <x:v>bucket notificationを先に削除</x:v>
      </x:c>
      <x:c r="U163" s="14" t="str">
        <x:v>Step 14</x:v>
      </x:c>
      <x:c r="V163" s="84" t="str">
        <x:v>未着手</x:v>
      </x:c>
      <x:c r="W163" s="14" t="str">
        <x:v>terraform plan</x:v>
      </x:c>
    </x:row>
    <x:row r="164" ht="58" customHeight="1">
      <x:c r="A164" s="14" t="n">
        <x:v>13</x:v>
      </x:c>
      <x:c r="B164" s="14" t="n">
        <x:v>7</x:v>
      </x:c>
      <x:c r="C164" s="14" t="str">
        <x:v>イベント連携</x:v>
      </x:c>
      <x:c r="D164" s="14" t="str">
        <x:v>Amazon S3 → Amazon SQS</x:v>
      </x:c>
      <x:c r="E164" s="14" t="str">
        <x:v>uploads/完了を処理Queueへ通知</x:v>
      </x:c>
      <x:c r="F164" s="14" t="str">
        <x:v>Step 5,6,12</x:v>
      </x:c>
      <x:c r="G164" s="14" t="str">
        <x:v>infra/environments/dev/10-storage-queue</x:v>
      </x:c>
      <x:c r="H164" s="14" t="str">
        <x:v>s3_notification.tf, sqs.tf</x:v>
      </x:c>
      <x:c r="I164" s="14" t="str">
        <x:v>aws_s3_bucket_notification, aws_sqs_queue_policy</x:v>
      </x:c>
      <x:c r="J164" s="14" t="str">
        <x:v>audio-storage, queue</x:v>
      </x:c>
      <x:c r="K164" s="14" t="str">
        <x:v>`terraform apply tfplan`</x:v>
      </x:c>
      <x:c r="L164" s="14" t="str">
        <x:v>event_prefix=uploads/、event_suffix、Queue ARN</x:v>
      </x:c>
      <x:c r="M164" s="14" t="str">
        <x:v>`terraform apply tfplan`</x:v>
      </x:c>
      <x:c r="N164" s="14" t="str"/>
      <x:c r="O164" s="14" t="str"/>
      <x:c r="P164" s="14" t="str"/>
      <x:c r="Q164" s="14" t="str"/>
      <x:c r="R164" s="14" t="str">
        <x:v>SQS/S3 request</x:v>
      </x:c>
      <x:c r="S164" s="14" t="str">
        <x:v>対象bucketからのSendMessageのみ許可</x:v>
      </x:c>
      <x:c r="T164" s="14" t="str">
        <x:v>bucket notificationを先に削除</x:v>
      </x:c>
      <x:c r="U164" s="14" t="str">
        <x:v>Step 14</x:v>
      </x:c>
      <x:c r="V164" s="84" t="str">
        <x:v>未着手</x:v>
      </x:c>
      <x:c r="W164" s="14" t="str">
        <x:v>terraform apply</x:v>
      </x:c>
    </x:row>
    <x:row r="165" ht="58" customHeight="1">
      <x:c r="A165" s="14" t="n">
        <x:v>13</x:v>
      </x:c>
      <x:c r="B165" s="14" t="n">
        <x:v>8</x:v>
      </x:c>
      <x:c r="C165" s="14" t="str">
        <x:v>イベント連携</x:v>
      </x:c>
      <x:c r="D165" s="14" t="str">
        <x:v>Amazon S3 → Amazon SQS</x:v>
      </x:c>
      <x:c r="E165" s="14" t="str">
        <x:v>uploads/完了を処理Queueへ通知</x:v>
      </x:c>
      <x:c r="F165" s="14" t="str">
        <x:v>Step 5,6,12</x:v>
      </x:c>
      <x:c r="G165" s="14" t="str">
        <x:v>infra/environments/dev/10-storage-queue</x:v>
      </x:c>
      <x:c r="H165" s="14" t="str">
        <x:v>s3_notification.tf, sqs.tf</x:v>
      </x:c>
      <x:c r="I165" s="14" t="str">
        <x:v>aws_s3_bucket_notification, aws_sqs_queue_policy</x:v>
      </x:c>
      <x:c r="J165" s="14" t="str">
        <x:v>audio-storage, queue</x:v>
      </x:c>
      <x:c r="K165" s="14" t="str">
        <x:v>S3 Event NotificationとSQS Queue policyを確認</x:v>
      </x:c>
      <x:c r="L165" s="14" t="str">
        <x:v>event_prefix=uploads/、event_suffix、Queue ARN</x:v>
      </x:c>
      <x:c r="M165" s="14" t="str"/>
      <x:c r="N165" s="14" t="str">
        <x:v>S3 Event NotificationとSQS Queue policyを確認</x:v>
      </x:c>
      <x:c r="O165" s="14" t="str"/>
      <x:c r="P165" s="14" t="str"/>
      <x:c r="Q165" s="14" t="str"/>
      <x:c r="R165" s="14" t="str">
        <x:v>SQS/S3 request</x:v>
      </x:c>
      <x:c r="S165" s="14" t="str">
        <x:v>対象bucketからのSendMessageのみ許可</x:v>
      </x:c>
      <x:c r="T165" s="14" t="str">
        <x:v>bucket notificationを先に削除</x:v>
      </x:c>
      <x:c r="U165" s="14" t="str">
        <x:v>Step 14</x:v>
      </x:c>
      <x:c r="V165" s="84" t="str">
        <x:v>未着手</x:v>
      </x:c>
      <x:c r="W165" s="14" t="str">
        <x:v>AWSリソース確認</x:v>
      </x:c>
    </x:row>
    <x:row r="166" ht="58" customHeight="1">
      <x:c r="A166" s="14" t="n">
        <x:v>13</x:v>
      </x:c>
      <x:c r="B166" s="14" t="n">
        <x:v>9</x:v>
      </x:c>
      <x:c r="C166" s="14" t="str">
        <x:v>イベント連携</x:v>
      </x:c>
      <x:c r="D166" s="14" t="str">
        <x:v>Amazon S3 → Amazon SQS</x:v>
      </x:c>
      <x:c r="E166" s="14" t="str">
        <x:v>uploads/完了を処理Queueへ通知</x:v>
      </x:c>
      <x:c r="F166" s="14" t="str">
        <x:v>Step 5,6,12</x:v>
      </x:c>
      <x:c r="G166" s="14" t="str">
        <x:v>infra/environments/dev/10-storage-queue</x:v>
      </x:c>
      <x:c r="H166" s="14" t="str">
        <x:v>s3_notification.tf, sqs.tf</x:v>
      </x:c>
      <x:c r="I166" s="14" t="str">
        <x:v>aws_s3_bucket_notification, aws_sqs_queue_policy</x:v>
      </x:c>
      <x:c r="J166" s="14" t="str">
        <x:v>audio-storage, queue</x:v>
      </x:c>
      <x:c r="K166" s="14" t="str">
        <x:v>test音声upload後にSQS messageのbucket/keyを確認</x:v>
      </x:c>
      <x:c r="L166" s="14" t="str">
        <x:v>event_prefix=uploads/、event_suffix、Queue ARN</x:v>
      </x:c>
      <x:c r="M166" s="14" t="str"/>
      <x:c r="N166" s="14" t="str"/>
      <x:c r="O166" s="14" t="str">
        <x:v>test音声upload後にSQS messageのbucket/keyを確認</x:v>
      </x:c>
      <x:c r="P166" s="14" t="str"/>
      <x:c r="Q166" s="14" t="str"/>
      <x:c r="R166" s="14" t="str">
        <x:v>SQS/S3 request</x:v>
      </x:c>
      <x:c r="S166" s="14" t="str">
        <x:v>対象bucketからのSendMessageのみ許可</x:v>
      </x:c>
      <x:c r="T166" s="14" t="str">
        <x:v>bucket notificationを先に削除</x:v>
      </x:c>
      <x:c r="U166" s="14" t="str">
        <x:v>Step 14</x:v>
      </x:c>
      <x:c r="V166" s="84" t="str">
        <x:v>未着手</x:v>
      </x:c>
      <x:c r="W166" s="14" t="str">
        <x:v>疎通・動作確認</x:v>
      </x:c>
    </x:row>
    <x:row r="167" ht="58" customHeight="1">
      <x:c r="A167" s="14" t="n">
        <x:v>13</x:v>
      </x:c>
      <x:c r="B167" s="14" t="n">
        <x:v>10</x:v>
      </x:c>
      <x:c r="C167" s="14" t="str">
        <x:v>イベント連携</x:v>
      </x:c>
      <x:c r="D167" s="14" t="str">
        <x:v>Amazon S3 → Amazon SQS</x:v>
      </x:c>
      <x:c r="E167" s="14" t="str">
        <x:v>uploads/完了を処理Queueへ通知</x:v>
      </x:c>
      <x:c r="F167" s="14" t="str">
        <x:v>Step 5,6,12</x:v>
      </x:c>
      <x:c r="G167" s="14" t="str">
        <x:v>infra/environments/dev/10-storage-queue</x:v>
      </x:c>
      <x:c r="H167" s="14" t="str">
        <x:v>s3_notification.tf, sqs.tf</x:v>
      </x:c>
      <x:c r="I167" s="14" t="str">
        <x:v>aws_s3_bucket_notification, aws_sqs_queue_policy</x:v>
      </x:c>
      <x:c r="J167" s="14" t="str">
        <x:v>audio-storage, queue</x:v>
      </x:c>
      <x:c r="K167" s="14" t="str">
        <x:v>uploads/だけ通知され、processed/でイベントループしない</x:v>
      </x:c>
      <x:c r="L167" s="14" t="str">
        <x:v>event_prefix=uploads/、event_suffix、Queue ARN</x:v>
      </x:c>
      <x:c r="M167" s="14" t="str"/>
      <x:c r="N167" s="14" t="str"/>
      <x:c r="O167" s="14" t="str"/>
      <x:c r="P167" s="14" t="str">
        <x:v>uploads/だけ通知され、processed/でイベントループしない</x:v>
      </x:c>
      <x:c r="Q167" s="14" t="str"/>
      <x:c r="R167" s="14" t="str">
        <x:v>SQS/S3 request</x:v>
      </x:c>
      <x:c r="S167" s="14" t="str">
        <x:v>対象bucketからのSendMessageのみ許可</x:v>
      </x:c>
      <x:c r="T167" s="14" t="str">
        <x:v>bucket notificationを先に削除</x:v>
      </x:c>
      <x:c r="U167" s="14" t="str">
        <x:v>Step 14</x:v>
      </x:c>
      <x:c r="V167" s="84" t="str">
        <x:v>未着手</x:v>
      </x:c>
      <x:c r="W167" s="14" t="str">
        <x:v>成功条件確認</x:v>
      </x:c>
    </x:row>
    <x:row r="168" ht="58" customHeight="1">
      <x:c r="A168" s="14" t="n">
        <x:v>13</x:v>
      </x:c>
      <x:c r="B168" s="14" t="n">
        <x:v>11</x:v>
      </x:c>
      <x:c r="C168" s="14" t="str">
        <x:v>イベント連携</x:v>
      </x:c>
      <x:c r="D168" s="14" t="str">
        <x:v>Amazon S3 → Amazon SQS</x:v>
      </x:c>
      <x:c r="E168" s="14" t="str">
        <x:v>uploads/完了を処理Queueへ通知</x:v>
      </x:c>
      <x:c r="F168" s="14" t="str">
        <x:v>Step 5,6,12</x:v>
      </x:c>
      <x:c r="G168" s="14" t="str">
        <x:v>infra/environments/dev/10-storage-queue</x:v>
      </x:c>
      <x:c r="H168" s="14" t="str">
        <x:v>s3_notification.tf, sqs.tf</x:v>
      </x:c>
      <x:c r="I168" s="14" t="str">
        <x:v>aws_s3_bucket_notification, aws_sqs_queue_policy</x:v>
      </x:c>
      <x:c r="J168" s="14" t="str">
        <x:v>audio-storage, queue</x:v>
      </x:c>
      <x:c r="K168" s="14" t="str">
        <x:v>Queue policy SourceArn、prefix/suffix、URL encoding</x:v>
      </x:c>
      <x:c r="L168" s="14" t="str">
        <x:v>event_prefix=uploads/、event_suffix、Queue ARN</x:v>
      </x:c>
      <x:c r="M168" s="14" t="str"/>
      <x:c r="N168" s="14" t="str"/>
      <x:c r="O168" s="14" t="str"/>
      <x:c r="P168" s="14" t="str"/>
      <x:c r="Q168" s="14" t="str">
        <x:v>Queue policy SourceArn、prefix/suffix、URL encoding</x:v>
      </x:c>
      <x:c r="R168" s="14" t="str">
        <x:v>SQS/S3 request</x:v>
      </x:c>
      <x:c r="S168" s="14" t="str">
        <x:v>対象bucketからのSendMessageのみ許可</x:v>
      </x:c>
      <x:c r="T168" s="14" t="str">
        <x:v>bucket notificationを先に削除</x:v>
      </x:c>
      <x:c r="U168" s="14" t="str">
        <x:v>Step 14</x:v>
      </x:c>
      <x:c r="V168" s="84" t="str">
        <x:v>未着手</x:v>
      </x:c>
      <x:c r="W168" s="14" t="str">
        <x:v>失敗時確認</x:v>
      </x:c>
    </x:row>
    <x:row r="169" ht="58" customHeight="1">
      <x:c r="A169" s="14" t="n">
        <x:v>13</x:v>
      </x:c>
      <x:c r="B169" s="14" t="n">
        <x:v>12</x:v>
      </x:c>
      <x:c r="C169" s="14" t="str">
        <x:v>イベント連携</x:v>
      </x:c>
      <x:c r="D169" s="14" t="str">
        <x:v>Amazon S3 → Amazon SQS</x:v>
      </x:c>
      <x:c r="E169" s="14" t="str">
        <x:v>uploads/完了を処理Queueへ通知</x:v>
      </x:c>
      <x:c r="F169" s="14" t="str">
        <x:v>Step 5,6,12</x:v>
      </x:c>
      <x:c r="G169" s="14" t="str">
        <x:v>infra/environments/dev/10-storage-queue</x:v>
      </x:c>
      <x:c r="H169" s="14" t="str">
        <x:v>s3_notification.tf, sqs.tf</x:v>
      </x:c>
      <x:c r="I169" s="14" t="str">
        <x:v>aws_s3_bucket_notification, aws_sqs_queue_policy</x:v>
      </x:c>
      <x:c r="J169" s="14" t="str">
        <x:v>audio-storage, queue</x:v>
      </x:c>
      <x:c r="K169" s="14" t="str">
        <x:v>削除: bucket notificationを先に削除 / 次: Step 14</x:v>
      </x:c>
      <x:c r="L169" s="14" t="str">
        <x:v>event_prefix=uploads/、event_suffix、Queue ARN</x:v>
      </x:c>
      <x:c r="M169" s="14" t="str"/>
      <x:c r="N169" s="14" t="str"/>
      <x:c r="O169" s="14" t="str"/>
      <x:c r="P169" s="14" t="str"/>
      <x:c r="Q169" s="14" t="str"/>
      <x:c r="R169" s="14" t="str">
        <x:v>SQS/S3 request</x:v>
      </x:c>
      <x:c r="S169" s="14" t="str">
        <x:v>対象bucketからのSendMessageのみ許可</x:v>
      </x:c>
      <x:c r="T169" s="14" t="str">
        <x:v>bucket notificationを先に削除</x:v>
      </x:c>
      <x:c r="U169" s="14" t="str">
        <x:v>Step 14</x:v>
      </x:c>
      <x:c r="V169" s="84" t="str">
        <x:v>未着手</x:v>
      </x:c>
      <x:c r="W169" s="14" t="str">
        <x:v>依存・削除確認</x:v>
      </x:c>
    </x:row>
    <x:row r="170" ht="58" customHeight="1">
      <x:c r="A170" s="14" t="n">
        <x:v>14</x:v>
      </x:c>
      <x:c r="B170" s="14" t="n">
        <x:v>1</x:v>
      </x:c>
      <x:c r="C170" s="14" t="str">
        <x:v>音声処理</x:v>
      </x:c>
      <x:c r="D170" s="14" t="str">
        <x:v>AWS Lambda</x:v>
      </x:c>
      <x:c r="E170" s="14" t="str">
        <x:v>音声変換・波形生成・DB状態更新</x:v>
      </x:c>
      <x:c r="F170" s="14" t="str">
        <x:v>Step 6,10,13</x:v>
      </x:c>
      <x:c r="G170" s="14" t="str">
        <x:v>infra/environments/dev/40-backend</x:v>
      </x:c>
      <x:c r="H170" s="14" t="str">
        <x:v>lambda_worker.tf, variables.tf, outputs.tf</x:v>
      </x:c>
      <x:c r="I170" s="14" t="str">
        <x:v>aws_lambda_function, aws_lambda_event_source_mapping, aws_iam_role_policy</x:v>
      </x:c>
      <x:c r="J170" s="14" t="str">
        <x:v>lambda-worker</x:v>
      </x:c>
      <x:c r="K170" s="14" t="str">
        <x:v>対象ファイルを作成し、resourceとmoduleの責務を分ける。</x:v>
      </x:c>
      <x:c r="L170" s="14" t="str">
        <x:v>memory=2048-4096MB、timeout&lt;900秒、batch_size=1、reserved_concurrency=2</x:v>
      </x:c>
      <x:c r="M170" s="14" t="str"/>
      <x:c r="N170" s="14" t="str"/>
      <x:c r="O170" s="14" t="str"/>
      <x:c r="P170" s="14" t="str"/>
      <x:c r="Q170" s="14" t="str"/>
      <x:c r="R170" s="14" t="str">
        <x:v>処理秒数とmemory</x:v>
      </x:c>
      <x:c r="S170" s="14" t="str">
        <x:v>対象prefixのみS3権限、command引数検証</x:v>
      </x:c>
      <x:c r="T170" s="14" t="str">
        <x:v>mappingをdisable/delete後function destroy</x:v>
      </x:c>
      <x:c r="U170" s="14" t="str">
        <x:v>Step 17</x:v>
      </x:c>
      <x:c r="V170" s="84" t="str">
        <x:v>未着手</x:v>
      </x:c>
      <x:c r="W170" s="14" t="str">
        <x:v>対象ファイルの準備</x:v>
      </x:c>
    </x:row>
    <x:row r="171" ht="58" customHeight="1">
      <x:c r="A171" s="14" t="n">
        <x:v>14</x:v>
      </x:c>
      <x:c r="B171" s="14" t="n">
        <x:v>2</x:v>
      </x:c>
      <x:c r="C171" s="14" t="str">
        <x:v>音声処理</x:v>
      </x:c>
      <x:c r="D171" s="14" t="str">
        <x:v>AWS Lambda</x:v>
      </x:c>
      <x:c r="E171" s="14" t="str">
        <x:v>音声変換・波形生成・DB状態更新</x:v>
      </x:c>
      <x:c r="F171" s="14" t="str">
        <x:v>Step 6,10,13</x:v>
      </x:c>
      <x:c r="G171" s="14" t="str">
        <x:v>infra/environments/dev/40-backend</x:v>
      </x:c>
      <x:c r="H171" s="14" t="str">
        <x:v>lambda_worker.tf, variables.tf, outputs.tf</x:v>
      </x:c>
      <x:c r="I171" s="14" t="str">
        <x:v>aws_lambda_function, aws_lambda_event_source_mapping, aws_iam_role_policy</x:v>
      </x:c>
      <x:c r="J171" s="14" t="str">
        <x:v>lambda-worker</x:v>
      </x:c>
      <x:c r="K171" s="14" t="str">
        <x:v>非機密値だけをtfvarsまたは環境変数へ設定する。</x:v>
      </x:c>
      <x:c r="L171" s="14" t="str">
        <x:v>memory=2048-4096MB、timeout&lt;900秒、batch_size=1、reserved_concurrency=2</x:v>
      </x:c>
      <x:c r="M171" s="14" t="str"/>
      <x:c r="N171" s="14" t="str"/>
      <x:c r="O171" s="14" t="str"/>
      <x:c r="P171" s="14" t="str"/>
      <x:c r="Q171" s="14" t="str"/>
      <x:c r="R171" s="14" t="str">
        <x:v>処理秒数とmemory</x:v>
      </x:c>
      <x:c r="S171" s="14" t="str">
        <x:v>対象prefixのみS3権限、command引数検証</x:v>
      </x:c>
      <x:c r="T171" s="14" t="str">
        <x:v>mappingをdisable/delete後function destroy</x:v>
      </x:c>
      <x:c r="U171" s="14" t="str">
        <x:v>Step 17</x:v>
      </x:c>
      <x:c r="V171" s="84" t="str">
        <x:v>未着手</x:v>
      </x:c>
      <x:c r="W171" s="14" t="str">
        <x:v>設定値の準備</x:v>
      </x:c>
    </x:row>
    <x:row r="172" ht="58" customHeight="1">
      <x:c r="A172" s="14" t="n">
        <x:v>14</x:v>
      </x:c>
      <x:c r="B172" s="14" t="n">
        <x:v>3</x:v>
      </x:c>
      <x:c r="C172" s="14" t="str">
        <x:v>音声処理</x:v>
      </x:c>
      <x:c r="D172" s="14" t="str">
        <x:v>AWS Lambda</x:v>
      </x:c>
      <x:c r="E172" s="14" t="str">
        <x:v>音声変換・波形生成・DB状態更新</x:v>
      </x:c>
      <x:c r="F172" s="14" t="str">
        <x:v>Step 6,10,13</x:v>
      </x:c>
      <x:c r="G172" s="14" t="str">
        <x:v>infra/environments/dev/40-backend</x:v>
      </x:c>
      <x:c r="H172" s="14" t="str">
        <x:v>lambda_worker.tf, variables.tf, outputs.tf</x:v>
      </x:c>
      <x:c r="I172" s="14" t="str">
        <x:v>aws_lambda_function, aws_lambda_event_source_mapping, aws_iam_role_policy</x:v>
      </x:c>
      <x:c r="J172" s="14" t="str">
        <x:v>lambda-worker</x:v>
      </x:c>
      <x:c r="K172" s="14" t="str">
        <x:v>HCLファイルを自動整形する。</x:v>
      </x:c>
      <x:c r="L172" s="14" t="str">
        <x:v>memory=2048-4096MB、timeout&lt;900秒、batch_size=1、reserved_concurrency=2</x:v>
      </x:c>
      <x:c r="M172" s="14" t="str">
        <x:v>`terraform fmt -recursive`</x:v>
      </x:c>
      <x:c r="N172" s="14" t="str"/>
      <x:c r="O172" s="14" t="str"/>
      <x:c r="P172" s="14" t="str"/>
      <x:c r="Q172" s="14" t="str"/>
      <x:c r="R172" s="14" t="str">
        <x:v>処理秒数とmemory</x:v>
      </x:c>
      <x:c r="S172" s="14" t="str">
        <x:v>対象prefixのみS3権限、command引数検証</x:v>
      </x:c>
      <x:c r="T172" s="14" t="str">
        <x:v>mappingをdisable/delete後function destroy</x:v>
      </x:c>
      <x:c r="U172" s="14" t="str">
        <x:v>Step 17</x:v>
      </x:c>
      <x:c r="V172" s="84" t="str">
        <x:v>未着手</x:v>
      </x:c>
      <x:c r="W172" s="14" t="str">
        <x:v>terraform fmt</x:v>
      </x:c>
    </x:row>
    <x:row r="173" ht="58" customHeight="1">
      <x:c r="A173" s="14" t="n">
        <x:v>14</x:v>
      </x:c>
      <x:c r="B173" s="14" t="n">
        <x:v>4</x:v>
      </x:c>
      <x:c r="C173" s="14" t="str">
        <x:v>音声処理</x:v>
      </x:c>
      <x:c r="D173" s="14" t="str">
        <x:v>AWS Lambda</x:v>
      </x:c>
      <x:c r="E173" s="14" t="str">
        <x:v>音声変換・波形生成・DB状態更新</x:v>
      </x:c>
      <x:c r="F173" s="14" t="str">
        <x:v>Step 6,10,13</x:v>
      </x:c>
      <x:c r="G173" s="14" t="str">
        <x:v>infra/environments/dev/40-backend</x:v>
      </x:c>
      <x:c r="H173" s="14" t="str">
        <x:v>lambda_worker.tf, variables.tf, outputs.tf</x:v>
      </x:c>
      <x:c r="I173" s="14" t="str">
        <x:v>aws_lambda_function, aws_lambda_event_source_mapping, aws_iam_role_policy</x:v>
      </x:c>
      <x:c r="J173" s="14" t="str">
        <x:v>lambda-worker</x:v>
      </x:c>
      <x:c r="K173" s="14" t="str">
        <x:v>backend、Provider、moduleを初期化する。</x:v>
      </x:c>
      <x:c r="L173" s="14" t="str">
        <x:v>memory=2048-4096MB、timeout&lt;900秒、batch_size=1、reserved_concurrency=2</x:v>
      </x:c>
      <x:c r="M173" s="14" t="str">
        <x:v>同一stack。通常不要。</x:v>
      </x:c>
      <x:c r="N173" s="14" t="str"/>
      <x:c r="O173" s="14" t="str"/>
      <x:c r="P173" s="14" t="str"/>
      <x:c r="Q173" s="14" t="str"/>
      <x:c r="R173" s="14" t="str">
        <x:v>処理秒数とmemory</x:v>
      </x:c>
      <x:c r="S173" s="14" t="str">
        <x:v>対象prefixのみS3権限、command引数検証</x:v>
      </x:c>
      <x:c r="T173" s="14" t="str">
        <x:v>mappingをdisable/delete後function destroy</x:v>
      </x:c>
      <x:c r="U173" s="14" t="str">
        <x:v>Step 17</x:v>
      </x:c>
      <x:c r="V173" s="84" t="str">
        <x:v>未着手</x:v>
      </x:c>
      <x:c r="W173" s="14" t="str">
        <x:v>terraform init</x:v>
      </x:c>
    </x:row>
    <x:row r="174" ht="58" customHeight="1">
      <x:c r="A174" s="14" t="n">
        <x:v>14</x:v>
      </x:c>
      <x:c r="B174" s="14" t="n">
        <x:v>5</x:v>
      </x:c>
      <x:c r="C174" s="14" t="str">
        <x:v>音声処理</x:v>
      </x:c>
      <x:c r="D174" s="14" t="str">
        <x:v>AWS Lambda</x:v>
      </x:c>
      <x:c r="E174" s="14" t="str">
        <x:v>音声変換・波形生成・DB状態更新</x:v>
      </x:c>
      <x:c r="F174" s="14" t="str">
        <x:v>Step 6,10,13</x:v>
      </x:c>
      <x:c r="G174" s="14" t="str">
        <x:v>infra/environments/dev/40-backend</x:v>
      </x:c>
      <x:c r="H174" s="14" t="str">
        <x:v>lambda_worker.tf, variables.tf, outputs.tf</x:v>
      </x:c>
      <x:c r="I174" s="14" t="str">
        <x:v>aws_lambda_function, aws_lambda_event_source_mapping, aws_iam_role_policy</x:v>
      </x:c>
      <x:c r="J174" s="14" t="str">
        <x:v>lambda-worker</x:v>
      </x:c>
      <x:c r="K174" s="14" t="str">
        <x:v>`terraform validate`</x:v>
      </x:c>
      <x:c r="L174" s="14" t="str">
        <x:v>memory=2048-4096MB、timeout&lt;900秒、batch_size=1、reserved_concurrency=2</x:v>
      </x:c>
      <x:c r="M174" s="14" t="str">
        <x:v>`terraform validate`</x:v>
      </x:c>
      <x:c r="N174" s="14" t="str"/>
      <x:c r="O174" s="14" t="str"/>
      <x:c r="P174" s="14" t="str"/>
      <x:c r="Q174" s="14" t="str"/>
      <x:c r="R174" s="14" t="str">
        <x:v>処理秒数とmemory</x:v>
      </x:c>
      <x:c r="S174" s="14" t="str">
        <x:v>対象prefixのみS3権限、command引数検証</x:v>
      </x:c>
      <x:c r="T174" s="14" t="str">
        <x:v>mappingをdisable/delete後function destroy</x:v>
      </x:c>
      <x:c r="U174" s="14" t="str">
        <x:v>Step 17</x:v>
      </x:c>
      <x:c r="V174" s="84" t="str">
        <x:v>未着手</x:v>
      </x:c>
      <x:c r="W174" s="14" t="str">
        <x:v>terraform validate</x:v>
      </x:c>
    </x:row>
    <x:row r="175" ht="58" customHeight="1">
      <x:c r="A175" s="14" t="n">
        <x:v>14</x:v>
      </x:c>
      <x:c r="B175" s="14" t="n">
        <x:v>6</x:v>
      </x:c>
      <x:c r="C175" s="14" t="str">
        <x:v>音声処理</x:v>
      </x:c>
      <x:c r="D175" s="14" t="str">
        <x:v>AWS Lambda</x:v>
      </x:c>
      <x:c r="E175" s="14" t="str">
        <x:v>音声変換・波形生成・DB状態更新</x:v>
      </x:c>
      <x:c r="F175" s="14" t="str">
        <x:v>Step 6,10,13</x:v>
      </x:c>
      <x:c r="G175" s="14" t="str">
        <x:v>infra/environments/dev/40-backend</x:v>
      </x:c>
      <x:c r="H175" s="14" t="str">
        <x:v>lambda_worker.tf, variables.tf, outputs.tf</x:v>
      </x:c>
      <x:c r="I175" s="14" t="str">
        <x:v>aws_lambda_function, aws_lambda_event_source_mapping, aws_iam_role_policy</x:v>
      </x:c>
      <x:c r="J175" s="14" t="str">
        <x:v>lambda-worker</x:v>
      </x:c>
      <x:c r="K175" s="14" t="str">
        <x:v>`terraform plan -out=tfplan`</x:v>
      </x:c>
      <x:c r="L175" s="14" t="str">
        <x:v>memory=2048-4096MB、timeout&lt;900秒、batch_size=1、reserved_concurrency=2</x:v>
      </x:c>
      <x:c r="M175" s="14" t="str">
        <x:v>`terraform plan -out=tfplan`</x:v>
      </x:c>
      <x:c r="N175" s="14" t="str"/>
      <x:c r="O175" s="14" t="str"/>
      <x:c r="P175" s="14" t="str"/>
      <x:c r="Q175" s="14" t="str"/>
      <x:c r="R175" s="14" t="str">
        <x:v>処理秒数とmemory</x:v>
      </x:c>
      <x:c r="S175" s="14" t="str">
        <x:v>対象prefixのみS3権限、command引数検証</x:v>
      </x:c>
      <x:c r="T175" s="14" t="str">
        <x:v>mappingをdisable/delete後function destroy</x:v>
      </x:c>
      <x:c r="U175" s="14" t="str">
        <x:v>Step 17</x:v>
      </x:c>
      <x:c r="V175" s="84" t="str">
        <x:v>未着手</x:v>
      </x:c>
      <x:c r="W175" s="14" t="str">
        <x:v>terraform plan</x:v>
      </x:c>
    </x:row>
    <x:row r="176" ht="58" customHeight="1">
      <x:c r="A176" s="14" t="n">
        <x:v>14</x:v>
      </x:c>
      <x:c r="B176" s="14" t="n">
        <x:v>7</x:v>
      </x:c>
      <x:c r="C176" s="14" t="str">
        <x:v>音声処理</x:v>
      </x:c>
      <x:c r="D176" s="14" t="str">
        <x:v>AWS Lambda</x:v>
      </x:c>
      <x:c r="E176" s="14" t="str">
        <x:v>音声変換・波形生成・DB状態更新</x:v>
      </x:c>
      <x:c r="F176" s="14" t="str">
        <x:v>Step 6,10,13</x:v>
      </x:c>
      <x:c r="G176" s="14" t="str">
        <x:v>infra/environments/dev/40-backend</x:v>
      </x:c>
      <x:c r="H176" s="14" t="str">
        <x:v>lambda_worker.tf, variables.tf, outputs.tf</x:v>
      </x:c>
      <x:c r="I176" s="14" t="str">
        <x:v>aws_lambda_function, aws_lambda_event_source_mapping, aws_iam_role_policy</x:v>
      </x:c>
      <x:c r="J176" s="14" t="str">
        <x:v>lambda-worker</x:v>
      </x:c>
      <x:c r="K176" s="14" t="str">
        <x:v>`terraform apply tfplan`</x:v>
      </x:c>
      <x:c r="L176" s="14" t="str">
        <x:v>memory=2048-4096MB、timeout&lt;900秒、batch_size=1、reserved_concurrency=2</x:v>
      </x:c>
      <x:c r="M176" s="14" t="str">
        <x:v>`terraform apply tfplan`</x:v>
      </x:c>
      <x:c r="N176" s="14" t="str"/>
      <x:c r="O176" s="14" t="str"/>
      <x:c r="P176" s="14" t="str"/>
      <x:c r="Q176" s="14" t="str"/>
      <x:c r="R176" s="14" t="str">
        <x:v>処理秒数とmemory</x:v>
      </x:c>
      <x:c r="S176" s="14" t="str">
        <x:v>対象prefixのみS3権限、command引数検証</x:v>
      </x:c>
      <x:c r="T176" s="14" t="str">
        <x:v>mappingをdisable/delete後function destroy</x:v>
      </x:c>
      <x:c r="U176" s="14" t="str">
        <x:v>Step 17</x:v>
      </x:c>
      <x:c r="V176" s="84" t="str">
        <x:v>未着手</x:v>
      </x:c>
      <x:c r="W176" s="14" t="str">
        <x:v>terraform apply</x:v>
      </x:c>
    </x:row>
    <x:row r="177" ht="58" customHeight="1">
      <x:c r="A177" s="14" t="n">
        <x:v>14</x:v>
      </x:c>
      <x:c r="B177" s="14" t="n">
        <x:v>8</x:v>
      </x:c>
      <x:c r="C177" s="14" t="str">
        <x:v>音声処理</x:v>
      </x:c>
      <x:c r="D177" s="14" t="str">
        <x:v>AWS Lambda</x:v>
      </x:c>
      <x:c r="E177" s="14" t="str">
        <x:v>音声変換・波形生成・DB状態更新</x:v>
      </x:c>
      <x:c r="F177" s="14" t="str">
        <x:v>Step 6,10,13</x:v>
      </x:c>
      <x:c r="G177" s="14" t="str">
        <x:v>infra/environments/dev/40-backend</x:v>
      </x:c>
      <x:c r="H177" s="14" t="str">
        <x:v>lambda_worker.tf, variables.tf, outputs.tf</x:v>
      </x:c>
      <x:c r="I177" s="14" t="str">
        <x:v>aws_lambda_function, aws_lambda_event_source_mapping, aws_iam_role_policy</x:v>
      </x:c>
      <x:c r="J177" s="14" t="str">
        <x:v>lambda-worker</x:v>
      </x:c>
      <x:c r="K177" s="14" t="str">
        <x:v>Event source mapping、VPC、Role、Timeoutを確認</x:v>
      </x:c>
      <x:c r="L177" s="14" t="str">
        <x:v>memory=2048-4096MB、timeout&lt;900秒、batch_size=1、reserved_concurrency=2</x:v>
      </x:c>
      <x:c r="M177" s="14" t="str"/>
      <x:c r="N177" s="14" t="str">
        <x:v>Event source mapping、VPC、Role、Timeoutを確認</x:v>
      </x:c>
      <x:c r="O177" s="14" t="str"/>
      <x:c r="P177" s="14" t="str"/>
      <x:c r="Q177" s="14" t="str"/>
      <x:c r="R177" s="14" t="str">
        <x:v>処理秒数とmemory</x:v>
      </x:c>
      <x:c r="S177" s="14" t="str">
        <x:v>対象prefixのみS3権限、command引数検証</x:v>
      </x:c>
      <x:c r="T177" s="14" t="str">
        <x:v>mappingをdisable/delete後function destroy</x:v>
      </x:c>
      <x:c r="U177" s="14" t="str">
        <x:v>Step 17</x:v>
      </x:c>
      <x:c r="V177" s="84" t="str">
        <x:v>未着手</x:v>
      </x:c>
      <x:c r="W177" s="14" t="str">
        <x:v>AWSリソース確認</x:v>
      </x:c>
    </x:row>
    <x:row r="178" ht="58" customHeight="1">
      <x:c r="A178" s="14" t="n">
        <x:v>14</x:v>
      </x:c>
      <x:c r="B178" s="14" t="n">
        <x:v>9</x:v>
      </x:c>
      <x:c r="C178" s="14" t="str">
        <x:v>音声処理</x:v>
      </x:c>
      <x:c r="D178" s="14" t="str">
        <x:v>AWS Lambda</x:v>
      </x:c>
      <x:c r="E178" s="14" t="str">
        <x:v>音声変換・波形生成・DB状態更新</x:v>
      </x:c>
      <x:c r="F178" s="14" t="str">
        <x:v>Step 6,10,13</x:v>
      </x:c>
      <x:c r="G178" s="14" t="str">
        <x:v>infra/environments/dev/40-backend</x:v>
      </x:c>
      <x:c r="H178" s="14" t="str">
        <x:v>lambda_worker.tf, variables.tf, outputs.tf</x:v>
      </x:c>
      <x:c r="I178" s="14" t="str">
        <x:v>aws_lambda_function, aws_lambda_event_source_mapping, aws_iam_role_policy</x:v>
      </x:c>
      <x:c r="J178" s="14" t="str">
        <x:v>lambda-worker</x:v>
      </x:c>
      <x:c r="K178" s="14" t="str">
        <x:v>sample音声でprocessed file、waveform JSON、RDS status確認</x:v>
      </x:c>
      <x:c r="L178" s="14" t="str">
        <x:v>memory=2048-4096MB、timeout&lt;900秒、batch_size=1、reserved_concurrency=2</x:v>
      </x:c>
      <x:c r="M178" s="14" t="str"/>
      <x:c r="N178" s="14" t="str"/>
      <x:c r="O178" s="14" t="str">
        <x:v>sample音声でprocessed file、waveform JSON、RDS status確認</x:v>
      </x:c>
      <x:c r="P178" s="14" t="str"/>
      <x:c r="Q178" s="14" t="str"/>
      <x:c r="R178" s="14" t="str">
        <x:v>処理秒数とmemory</x:v>
      </x:c>
      <x:c r="S178" s="14" t="str">
        <x:v>対象prefixのみS3権限、command引数検証</x:v>
      </x:c>
      <x:c r="T178" s="14" t="str">
        <x:v>mappingをdisable/delete後function destroy</x:v>
      </x:c>
      <x:c r="U178" s="14" t="str">
        <x:v>Step 17</x:v>
      </x:c>
      <x:c r="V178" s="84" t="str">
        <x:v>未着手</x:v>
      </x:c>
      <x:c r="W178" s="14" t="str">
        <x:v>疎通・動作確認</x:v>
      </x:c>
    </x:row>
    <x:row r="179" ht="58" customHeight="1">
      <x:c r="A179" s="14" t="n">
        <x:v>14</x:v>
      </x:c>
      <x:c r="B179" s="14" t="n">
        <x:v>10</x:v>
      </x:c>
      <x:c r="C179" s="14" t="str">
        <x:v>音声処理</x:v>
      </x:c>
      <x:c r="D179" s="14" t="str">
        <x:v>AWS Lambda</x:v>
      </x:c>
      <x:c r="E179" s="14" t="str">
        <x:v>音声変換・波形生成・DB状態更新</x:v>
      </x:c>
      <x:c r="F179" s="14" t="str">
        <x:v>Step 6,10,13</x:v>
      </x:c>
      <x:c r="G179" s="14" t="str">
        <x:v>infra/environments/dev/40-backend</x:v>
      </x:c>
      <x:c r="H179" s="14" t="str">
        <x:v>lambda_worker.tf, variables.tf, outputs.tf</x:v>
      </x:c>
      <x:c r="I179" s="14" t="str">
        <x:v>aws_lambda_function, aws_lambda_event_source_mapping, aws_iam_role_policy</x:v>
      </x:c>
      <x:c r="J179" s="14" t="str">
        <x:v>lambda-worker</x:v>
      </x:c>
      <x:c r="K179" s="14" t="str">
        <x:v>COMPLETEDとなり、再送でも重複・破損しない</x:v>
      </x:c>
      <x:c r="L179" s="14" t="str">
        <x:v>memory=2048-4096MB、timeout&lt;900秒、batch_size=1、reserved_concurrency=2</x:v>
      </x:c>
      <x:c r="M179" s="14" t="str"/>
      <x:c r="N179" s="14" t="str"/>
      <x:c r="O179" s="14" t="str"/>
      <x:c r="P179" s="14" t="str">
        <x:v>COMPLETEDとなり、再送でも重複・破損しない</x:v>
      </x:c>
      <x:c r="Q179" s="14" t="str"/>
      <x:c r="R179" s="14" t="str">
        <x:v>処理秒数とmemory</x:v>
      </x:c>
      <x:c r="S179" s="14" t="str">
        <x:v>対象prefixのみS3権限、command引数検証</x:v>
      </x:c>
      <x:c r="T179" s="14" t="str">
        <x:v>mappingをdisable/delete後function destroy</x:v>
      </x:c>
      <x:c r="U179" s="14" t="str">
        <x:v>Step 17</x:v>
      </x:c>
      <x:c r="V179" s="84" t="str">
        <x:v>未着手</x:v>
      </x:c>
      <x:c r="W179" s="14" t="str">
        <x:v>成功条件確認</x:v>
      </x:c>
    </x:row>
    <x:row r="180" ht="58" customHeight="1">
      <x:c r="A180" s="14" t="n">
        <x:v>14</x:v>
      </x:c>
      <x:c r="B180" s="14" t="n">
        <x:v>11</x:v>
      </x:c>
      <x:c r="C180" s="14" t="str">
        <x:v>音声処理</x:v>
      </x:c>
      <x:c r="D180" s="14" t="str">
        <x:v>AWS Lambda</x:v>
      </x:c>
      <x:c r="E180" s="14" t="str">
        <x:v>音声変換・波形生成・DB状態更新</x:v>
      </x:c>
      <x:c r="F180" s="14" t="str">
        <x:v>Step 6,10,13</x:v>
      </x:c>
      <x:c r="G180" s="14" t="str">
        <x:v>infra/environments/dev/40-backend</x:v>
      </x:c>
      <x:c r="H180" s="14" t="str">
        <x:v>lambda_worker.tf, variables.tf, outputs.tf</x:v>
      </x:c>
      <x:c r="I180" s="14" t="str">
        <x:v>aws_lambda_function, aws_lambda_event_source_mapping, aws_iam_role_policy</x:v>
      </x:c>
      <x:c r="J180" s="14" t="str">
        <x:v>lambda-worker</x:v>
      </x:c>
      <x:c r="K180" s="14" t="str">
        <x:v>FFmpeg、/tmp、timeout、visibility、DB lock、DLQ</x:v>
      </x:c>
      <x:c r="L180" s="14" t="str">
        <x:v>memory=2048-4096MB、timeout&lt;900秒、batch_size=1、reserved_concurrency=2</x:v>
      </x:c>
      <x:c r="M180" s="14" t="str"/>
      <x:c r="N180" s="14" t="str"/>
      <x:c r="O180" s="14" t="str"/>
      <x:c r="P180" s="14" t="str"/>
      <x:c r="Q180" s="14" t="str">
        <x:v>FFmpeg、/tmp、timeout、visibility、DB lock、DLQ</x:v>
      </x:c>
      <x:c r="R180" s="14" t="str">
        <x:v>処理秒数とmemory</x:v>
      </x:c>
      <x:c r="S180" s="14" t="str">
        <x:v>対象prefixのみS3権限、command引数検証</x:v>
      </x:c>
      <x:c r="T180" s="14" t="str">
        <x:v>mappingをdisable/delete後function destroy</x:v>
      </x:c>
      <x:c r="U180" s="14" t="str">
        <x:v>Step 17</x:v>
      </x:c>
      <x:c r="V180" s="84" t="str">
        <x:v>未着手</x:v>
      </x:c>
      <x:c r="W180" s="14" t="str">
        <x:v>失敗時確認</x:v>
      </x:c>
    </x:row>
    <x:row r="181" ht="58" customHeight="1">
      <x:c r="A181" s="14" t="n">
        <x:v>14</x:v>
      </x:c>
      <x:c r="B181" s="14" t="n">
        <x:v>12</x:v>
      </x:c>
      <x:c r="C181" s="14" t="str">
        <x:v>音声処理</x:v>
      </x:c>
      <x:c r="D181" s="14" t="str">
        <x:v>AWS Lambda</x:v>
      </x:c>
      <x:c r="E181" s="14" t="str">
        <x:v>音声変換・波形生成・DB状態更新</x:v>
      </x:c>
      <x:c r="F181" s="14" t="str">
        <x:v>Step 6,10,13</x:v>
      </x:c>
      <x:c r="G181" s="14" t="str">
        <x:v>infra/environments/dev/40-backend</x:v>
      </x:c>
      <x:c r="H181" s="14" t="str">
        <x:v>lambda_worker.tf, variables.tf, outputs.tf</x:v>
      </x:c>
      <x:c r="I181" s="14" t="str">
        <x:v>aws_lambda_function, aws_lambda_event_source_mapping, aws_iam_role_policy</x:v>
      </x:c>
      <x:c r="J181" s="14" t="str">
        <x:v>lambda-worker</x:v>
      </x:c>
      <x:c r="K181" s="14" t="str">
        <x:v>削除: mappingをdisable/delete後function destroy / 次: Step 17</x:v>
      </x:c>
      <x:c r="L181" s="14" t="str">
        <x:v>memory=2048-4096MB、timeout&lt;900秒、batch_size=1、reserved_concurrency=2</x:v>
      </x:c>
      <x:c r="M181" s="14" t="str"/>
      <x:c r="N181" s="14" t="str"/>
      <x:c r="O181" s="14" t="str"/>
      <x:c r="P181" s="14" t="str"/>
      <x:c r="Q181" s="14" t="str"/>
      <x:c r="R181" s="14" t="str">
        <x:v>処理秒数とmemory</x:v>
      </x:c>
      <x:c r="S181" s="14" t="str">
        <x:v>対象prefixのみS3権限、command引数検証</x:v>
      </x:c>
      <x:c r="T181" s="14" t="str">
        <x:v>mappingをdisable/delete後function destroy</x:v>
      </x:c>
      <x:c r="U181" s="14" t="str">
        <x:v>Step 17</x:v>
      </x:c>
      <x:c r="V181" s="84" t="str">
        <x:v>未着手</x:v>
      </x:c>
      <x:c r="W181" s="14" t="str">
        <x:v>依存・削除確認</x:v>
      </x:c>
    </x:row>
    <x:row r="182" ht="58" customHeight="1">
      <x:c r="A182" s="14" t="n">
        <x:v>15</x:v>
      </x:c>
      <x:c r="B182" s="14" t="n">
        <x:v>1</x:v>
      </x:c>
      <x:c r="C182" s="14" t="str">
        <x:v>フロント配信</x:v>
      </x:c>
      <x:c r="D182" s="14" t="str">
        <x:v>Amazon CloudFront</x:v>
      </x:c>
      <x:c r="E182" s="14" t="str">
        <x:v>ReactをHTTPSで配信しS3を非公開化</x:v>
      </x:c>
      <x:c r="F182" s="14" t="str">
        <x:v>Step 4,11</x:v>
      </x:c>
      <x:c r="G182" s="14" t="str">
        <x:v>infra/environments/dev/50-frontend</x:v>
      </x:c>
      <x:c r="H182" s="14" t="str">
        <x:v>versions.tf, backend.hcl, providers.tf, cloudfront.tf, variables.tf, outputs.tf</x:v>
      </x:c>
      <x:c r="I182" s="14" t="str">
        <x:v>aws_cloudfront_origin_access_control, aws_cloudfront_distribution, aws_s3_bucket_policy</x:v>
      </x:c>
      <x:c r="J182" s="14" t="str">
        <x:v>cloudfront</x:v>
      </x:c>
      <x:c r="K182" s="14" t="str">
        <x:v>対象ファイルを作成し、resourceとmoduleの責務を分ける。</x:v>
      </x:c>
      <x:c r="L182" s="14" t="str">
        <x:v>price_class、default_root_object、SPA error response</x:v>
      </x:c>
      <x:c r="M182" s="14" t="str"/>
      <x:c r="N182" s="14" t="str"/>
      <x:c r="O182" s="14" t="str"/>
      <x:c r="P182" s="14" t="str"/>
      <x:c r="Q182" s="14" t="str"/>
      <x:c r="R182" s="14" t="str">
        <x:v>転送とHTTPS request</x:v>
      </x:c>
      <x:c r="S182" s="14" t="str">
        <x:v>TLS、OAC、S3公開禁止</x:v>
      </x:c>
      <x:c r="T182" s="14" t="str">
        <x:v>Distribution disable後にdestroy</x:v>
      </x:c>
      <x:c r="U182" s="14" t="str">
        <x:v>Step 16、17</x:v>
      </x:c>
      <x:c r="V182" s="84" t="str">
        <x:v>未着手</x:v>
      </x:c>
      <x:c r="W182" s="14" t="str">
        <x:v>対象ファイルの準備</x:v>
      </x:c>
    </x:row>
    <x:row r="183" ht="58" customHeight="1">
      <x:c r="A183" s="14" t="n">
        <x:v>15</x:v>
      </x:c>
      <x:c r="B183" s="14" t="n">
        <x:v>2</x:v>
      </x:c>
      <x:c r="C183" s="14" t="str">
        <x:v>フロント配信</x:v>
      </x:c>
      <x:c r="D183" s="14" t="str">
        <x:v>Amazon CloudFront</x:v>
      </x:c>
      <x:c r="E183" s="14" t="str">
        <x:v>ReactをHTTPSで配信しS3を非公開化</x:v>
      </x:c>
      <x:c r="F183" s="14" t="str">
        <x:v>Step 4,11</x:v>
      </x:c>
      <x:c r="G183" s="14" t="str">
        <x:v>infra/environments/dev/50-frontend</x:v>
      </x:c>
      <x:c r="H183" s="14" t="str">
        <x:v>versions.tf, backend.hcl, providers.tf, cloudfront.tf, variables.tf, outputs.tf</x:v>
      </x:c>
      <x:c r="I183" s="14" t="str">
        <x:v>aws_cloudfront_origin_access_control, aws_cloudfront_distribution, aws_s3_bucket_policy</x:v>
      </x:c>
      <x:c r="J183" s="14" t="str">
        <x:v>cloudfront</x:v>
      </x:c>
      <x:c r="K183" s="14" t="str">
        <x:v>非機密値だけをtfvarsまたは環境変数へ設定する。</x:v>
      </x:c>
      <x:c r="L183" s="14" t="str">
        <x:v>price_class、default_root_object、SPA error response</x:v>
      </x:c>
      <x:c r="M183" s="14" t="str"/>
      <x:c r="N183" s="14" t="str"/>
      <x:c r="O183" s="14" t="str"/>
      <x:c r="P183" s="14" t="str"/>
      <x:c r="Q183" s="14" t="str"/>
      <x:c r="R183" s="14" t="str">
        <x:v>転送とHTTPS request</x:v>
      </x:c>
      <x:c r="S183" s="14" t="str">
        <x:v>TLS、OAC、S3公開禁止</x:v>
      </x:c>
      <x:c r="T183" s="14" t="str">
        <x:v>Distribution disable後にdestroy</x:v>
      </x:c>
      <x:c r="U183" s="14" t="str">
        <x:v>Step 16、17</x:v>
      </x:c>
      <x:c r="V183" s="84" t="str">
        <x:v>未着手</x:v>
      </x:c>
      <x:c r="W183" s="14" t="str">
        <x:v>設定値の準備</x:v>
      </x:c>
    </x:row>
    <x:row r="184" ht="58" customHeight="1">
      <x:c r="A184" s="14" t="n">
        <x:v>15</x:v>
      </x:c>
      <x:c r="B184" s="14" t="n">
        <x:v>3</x:v>
      </x:c>
      <x:c r="C184" s="14" t="str">
        <x:v>フロント配信</x:v>
      </x:c>
      <x:c r="D184" s="14" t="str">
        <x:v>Amazon CloudFront</x:v>
      </x:c>
      <x:c r="E184" s="14" t="str">
        <x:v>ReactをHTTPSで配信しS3を非公開化</x:v>
      </x:c>
      <x:c r="F184" s="14" t="str">
        <x:v>Step 4,11</x:v>
      </x:c>
      <x:c r="G184" s="14" t="str">
        <x:v>infra/environments/dev/50-frontend</x:v>
      </x:c>
      <x:c r="H184" s="14" t="str">
        <x:v>versions.tf, backend.hcl, providers.tf, cloudfront.tf, variables.tf, outputs.tf</x:v>
      </x:c>
      <x:c r="I184" s="14" t="str">
        <x:v>aws_cloudfront_origin_access_control, aws_cloudfront_distribution, aws_s3_bucket_policy</x:v>
      </x:c>
      <x:c r="J184" s="14" t="str">
        <x:v>cloudfront</x:v>
      </x:c>
      <x:c r="K184" s="14" t="str">
        <x:v>HCLファイルを自動整形する。</x:v>
      </x:c>
      <x:c r="L184" s="14" t="str">
        <x:v>price_class、default_root_object、SPA error response</x:v>
      </x:c>
      <x:c r="M184" s="14" t="str">
        <x:v>`terraform fmt -recursive`</x:v>
      </x:c>
      <x:c r="N184" s="14" t="str"/>
      <x:c r="O184" s="14" t="str"/>
      <x:c r="P184" s="14" t="str"/>
      <x:c r="Q184" s="14" t="str"/>
      <x:c r="R184" s="14" t="str">
        <x:v>転送とHTTPS request</x:v>
      </x:c>
      <x:c r="S184" s="14" t="str">
        <x:v>TLS、OAC、S3公開禁止</x:v>
      </x:c>
      <x:c r="T184" s="14" t="str">
        <x:v>Distribution disable後にdestroy</x:v>
      </x:c>
      <x:c r="U184" s="14" t="str">
        <x:v>Step 16、17</x:v>
      </x:c>
      <x:c r="V184" s="84" t="str">
        <x:v>未着手</x:v>
      </x:c>
      <x:c r="W184" s="14" t="str">
        <x:v>terraform fmt</x:v>
      </x:c>
    </x:row>
    <x:row r="185" ht="58" customHeight="1">
      <x:c r="A185" s="14" t="n">
        <x:v>15</x:v>
      </x:c>
      <x:c r="B185" s="14" t="n">
        <x:v>4</x:v>
      </x:c>
      <x:c r="C185" s="14" t="str">
        <x:v>フロント配信</x:v>
      </x:c>
      <x:c r="D185" s="14" t="str">
        <x:v>Amazon CloudFront</x:v>
      </x:c>
      <x:c r="E185" s="14" t="str">
        <x:v>ReactをHTTPSで配信しS3を非公開化</x:v>
      </x:c>
      <x:c r="F185" s="14" t="str">
        <x:v>Step 4,11</x:v>
      </x:c>
      <x:c r="G185" s="14" t="str">
        <x:v>infra/environments/dev/50-frontend</x:v>
      </x:c>
      <x:c r="H185" s="14" t="str">
        <x:v>versions.tf, backend.hcl, providers.tf, cloudfront.tf, variables.tf, outputs.tf</x:v>
      </x:c>
      <x:c r="I185" s="14" t="str">
        <x:v>aws_cloudfront_origin_access_control, aws_cloudfront_distribution, aws_s3_bucket_policy</x:v>
      </x:c>
      <x:c r="J185" s="14" t="str">
        <x:v>cloudfront</x:v>
      </x:c>
      <x:c r="K185" s="14" t="str">
        <x:v>backend、Provider、moduleを初期化する。</x:v>
      </x:c>
      <x:c r="L185" s="14" t="str">
        <x:v>price_class、default_root_object、SPA error response</x:v>
      </x:c>
      <x:c r="M185" s="14" t="str">
        <x:v>新root stackのためinit必要。</x:v>
      </x:c>
      <x:c r="N185" s="14" t="str"/>
      <x:c r="O185" s="14" t="str"/>
      <x:c r="P185" s="14" t="str"/>
      <x:c r="Q185" s="14" t="str"/>
      <x:c r="R185" s="14" t="str">
        <x:v>転送とHTTPS request</x:v>
      </x:c>
      <x:c r="S185" s="14" t="str">
        <x:v>TLS、OAC、S3公開禁止</x:v>
      </x:c>
      <x:c r="T185" s="14" t="str">
        <x:v>Distribution disable後にdestroy</x:v>
      </x:c>
      <x:c r="U185" s="14" t="str">
        <x:v>Step 16、17</x:v>
      </x:c>
      <x:c r="V185" s="84" t="str">
        <x:v>未着手</x:v>
      </x:c>
      <x:c r="W185" s="14" t="str">
        <x:v>terraform init</x:v>
      </x:c>
    </x:row>
    <x:row r="186" ht="58" customHeight="1">
      <x:c r="A186" s="14" t="n">
        <x:v>15</x:v>
      </x:c>
      <x:c r="B186" s="14" t="n">
        <x:v>5</x:v>
      </x:c>
      <x:c r="C186" s="14" t="str">
        <x:v>フロント配信</x:v>
      </x:c>
      <x:c r="D186" s="14" t="str">
        <x:v>Amazon CloudFront</x:v>
      </x:c>
      <x:c r="E186" s="14" t="str">
        <x:v>ReactをHTTPSで配信しS3を非公開化</x:v>
      </x:c>
      <x:c r="F186" s="14" t="str">
        <x:v>Step 4,11</x:v>
      </x:c>
      <x:c r="G186" s="14" t="str">
        <x:v>infra/environments/dev/50-frontend</x:v>
      </x:c>
      <x:c r="H186" s="14" t="str">
        <x:v>versions.tf, backend.hcl, providers.tf, cloudfront.tf, variables.tf, outputs.tf</x:v>
      </x:c>
      <x:c r="I186" s="14" t="str">
        <x:v>aws_cloudfront_origin_access_control, aws_cloudfront_distribution, aws_s3_bucket_policy</x:v>
      </x:c>
      <x:c r="J186" s="14" t="str">
        <x:v>cloudfront</x:v>
      </x:c>
      <x:c r="K186" s="14" t="str">
        <x:v>`terraform validate`</x:v>
      </x:c>
      <x:c r="L186" s="14" t="str">
        <x:v>price_class、default_root_object、SPA error response</x:v>
      </x:c>
      <x:c r="M186" s="14" t="str">
        <x:v>`terraform validate`</x:v>
      </x:c>
      <x:c r="N186" s="14" t="str"/>
      <x:c r="O186" s="14" t="str"/>
      <x:c r="P186" s="14" t="str"/>
      <x:c r="Q186" s="14" t="str"/>
      <x:c r="R186" s="14" t="str">
        <x:v>転送とHTTPS request</x:v>
      </x:c>
      <x:c r="S186" s="14" t="str">
        <x:v>TLS、OAC、S3公開禁止</x:v>
      </x:c>
      <x:c r="T186" s="14" t="str">
        <x:v>Distribution disable後にdestroy</x:v>
      </x:c>
      <x:c r="U186" s="14" t="str">
        <x:v>Step 16、17</x:v>
      </x:c>
      <x:c r="V186" s="84" t="str">
        <x:v>未着手</x:v>
      </x:c>
      <x:c r="W186" s="14" t="str">
        <x:v>terraform validate</x:v>
      </x:c>
    </x:row>
    <x:row r="187" ht="58" customHeight="1">
      <x:c r="A187" s="14" t="n">
        <x:v>15</x:v>
      </x:c>
      <x:c r="B187" s="14" t="n">
        <x:v>6</x:v>
      </x:c>
      <x:c r="C187" s="14" t="str">
        <x:v>フロント配信</x:v>
      </x:c>
      <x:c r="D187" s="14" t="str">
        <x:v>Amazon CloudFront</x:v>
      </x:c>
      <x:c r="E187" s="14" t="str">
        <x:v>ReactをHTTPSで配信しS3を非公開化</x:v>
      </x:c>
      <x:c r="F187" s="14" t="str">
        <x:v>Step 4,11</x:v>
      </x:c>
      <x:c r="G187" s="14" t="str">
        <x:v>infra/environments/dev/50-frontend</x:v>
      </x:c>
      <x:c r="H187" s="14" t="str">
        <x:v>versions.tf, backend.hcl, providers.tf, cloudfront.tf, variables.tf, outputs.tf</x:v>
      </x:c>
      <x:c r="I187" s="14" t="str">
        <x:v>aws_cloudfront_origin_access_control, aws_cloudfront_distribution, aws_s3_bucket_policy</x:v>
      </x:c>
      <x:c r="J187" s="14" t="str">
        <x:v>cloudfront</x:v>
      </x:c>
      <x:c r="K187" s="14" t="str">
        <x:v>`terraform plan -out=tfplan`</x:v>
      </x:c>
      <x:c r="L187" s="14" t="str">
        <x:v>price_class、default_root_object、SPA error response</x:v>
      </x:c>
      <x:c r="M187" s="14" t="str">
        <x:v>`terraform plan -out=tfplan`</x:v>
      </x:c>
      <x:c r="N187" s="14" t="str"/>
      <x:c r="O187" s="14" t="str"/>
      <x:c r="P187" s="14" t="str"/>
      <x:c r="Q187" s="14" t="str"/>
      <x:c r="R187" s="14" t="str">
        <x:v>転送とHTTPS request</x:v>
      </x:c>
      <x:c r="S187" s="14" t="str">
        <x:v>TLS、OAC、S3公開禁止</x:v>
      </x:c>
      <x:c r="T187" s="14" t="str">
        <x:v>Distribution disable後にdestroy</x:v>
      </x:c>
      <x:c r="U187" s="14" t="str">
        <x:v>Step 16、17</x:v>
      </x:c>
      <x:c r="V187" s="84" t="str">
        <x:v>未着手</x:v>
      </x:c>
      <x:c r="W187" s="14" t="str">
        <x:v>terraform plan</x:v>
      </x:c>
    </x:row>
    <x:row r="188" ht="58" customHeight="1">
      <x:c r="A188" s="14" t="n">
        <x:v>15</x:v>
      </x:c>
      <x:c r="B188" s="14" t="n">
        <x:v>7</x:v>
      </x:c>
      <x:c r="C188" s="14" t="str">
        <x:v>フロント配信</x:v>
      </x:c>
      <x:c r="D188" s="14" t="str">
        <x:v>Amazon CloudFront</x:v>
      </x:c>
      <x:c r="E188" s="14" t="str">
        <x:v>ReactをHTTPSで配信しS3を非公開化</x:v>
      </x:c>
      <x:c r="F188" s="14" t="str">
        <x:v>Step 4,11</x:v>
      </x:c>
      <x:c r="G188" s="14" t="str">
        <x:v>infra/environments/dev/50-frontend</x:v>
      </x:c>
      <x:c r="H188" s="14" t="str">
        <x:v>versions.tf, backend.hcl, providers.tf, cloudfront.tf, variables.tf, outputs.tf</x:v>
      </x:c>
      <x:c r="I188" s="14" t="str">
        <x:v>aws_cloudfront_origin_access_control, aws_cloudfront_distribution, aws_s3_bucket_policy</x:v>
      </x:c>
      <x:c r="J188" s="14" t="str">
        <x:v>cloudfront</x:v>
      </x:c>
      <x:c r="K188" s="14" t="str">
        <x:v>`terraform apply tfplan`</x:v>
      </x:c>
      <x:c r="L188" s="14" t="str">
        <x:v>price_class、default_root_object、SPA error response</x:v>
      </x:c>
      <x:c r="M188" s="14" t="str">
        <x:v>`terraform apply tfplan`</x:v>
      </x:c>
      <x:c r="N188" s="14" t="str"/>
      <x:c r="O188" s="14" t="str"/>
      <x:c r="P188" s="14" t="str"/>
      <x:c r="Q188" s="14" t="str"/>
      <x:c r="R188" s="14" t="str">
        <x:v>転送とHTTPS request</x:v>
      </x:c>
      <x:c r="S188" s="14" t="str">
        <x:v>TLS、OAC、S3公開禁止</x:v>
      </x:c>
      <x:c r="T188" s="14" t="str">
        <x:v>Distribution disable後にdestroy</x:v>
      </x:c>
      <x:c r="U188" s="14" t="str">
        <x:v>Step 16、17</x:v>
      </x:c>
      <x:c r="V188" s="84" t="str">
        <x:v>未着手</x:v>
      </x:c>
      <x:c r="W188" s="14" t="str">
        <x:v>terraform apply</x:v>
      </x:c>
    </x:row>
    <x:row r="189" ht="58" customHeight="1">
      <x:c r="A189" s="14" t="n">
        <x:v>15</x:v>
      </x:c>
      <x:c r="B189" s="14" t="n">
        <x:v>8</x:v>
      </x:c>
      <x:c r="C189" s="14" t="str">
        <x:v>フロント配信</x:v>
      </x:c>
      <x:c r="D189" s="14" t="str">
        <x:v>Amazon CloudFront</x:v>
      </x:c>
      <x:c r="E189" s="14" t="str">
        <x:v>ReactをHTTPSで配信しS3を非公開化</x:v>
      </x:c>
      <x:c r="F189" s="14" t="str">
        <x:v>Step 4,11</x:v>
      </x:c>
      <x:c r="G189" s="14" t="str">
        <x:v>infra/environments/dev/50-frontend</x:v>
      </x:c>
      <x:c r="H189" s="14" t="str">
        <x:v>versions.tf, backend.hcl, providers.tf, cloudfront.tf, variables.tf, outputs.tf</x:v>
      </x:c>
      <x:c r="I189" s="14" t="str">
        <x:v>aws_cloudfront_origin_access_control, aws_cloudfront_distribution, aws_s3_bucket_policy</x:v>
      </x:c>
      <x:c r="J189" s="14" t="str">
        <x:v>cloudfront</x:v>
      </x:c>
      <x:c r="K189" s="14" t="str">
        <x:v>Distribution、OAC、Origin、Behaviorを確認</x:v>
      </x:c>
      <x:c r="L189" s="14" t="str">
        <x:v>price_class、default_root_object、SPA error response</x:v>
      </x:c>
      <x:c r="M189" s="14" t="str"/>
      <x:c r="N189" s="14" t="str">
        <x:v>Distribution、OAC、Origin、Behaviorを確認</x:v>
      </x:c>
      <x:c r="O189" s="14" t="str"/>
      <x:c r="P189" s="14" t="str"/>
      <x:c r="Q189" s="14" t="str"/>
      <x:c r="R189" s="14" t="str">
        <x:v>転送とHTTPS request</x:v>
      </x:c>
      <x:c r="S189" s="14" t="str">
        <x:v>TLS、OAC、S3公開禁止</x:v>
      </x:c>
      <x:c r="T189" s="14" t="str">
        <x:v>Distribution disable後にdestroy</x:v>
      </x:c>
      <x:c r="U189" s="14" t="str">
        <x:v>Step 16、17</x:v>
      </x:c>
      <x:c r="V189" s="84" t="str">
        <x:v>未着手</x:v>
      </x:c>
      <x:c r="W189" s="14" t="str">
        <x:v>AWSリソース確認</x:v>
      </x:c>
    </x:row>
    <x:row r="190" ht="58" customHeight="1">
      <x:c r="A190" s="14" t="n">
        <x:v>15</x:v>
      </x:c>
      <x:c r="B190" s="14" t="n">
        <x:v>9</x:v>
      </x:c>
      <x:c r="C190" s="14" t="str">
        <x:v>フロント配信</x:v>
      </x:c>
      <x:c r="D190" s="14" t="str">
        <x:v>Amazon CloudFront</x:v>
      </x:c>
      <x:c r="E190" s="14" t="str">
        <x:v>ReactをHTTPSで配信しS3を非公開化</x:v>
      </x:c>
      <x:c r="F190" s="14" t="str">
        <x:v>Step 4,11</x:v>
      </x:c>
      <x:c r="G190" s="14" t="str">
        <x:v>infra/environments/dev/50-frontend</x:v>
      </x:c>
      <x:c r="H190" s="14" t="str">
        <x:v>versions.tf, backend.hcl, providers.tf, cloudfront.tf, variables.tf, outputs.tf</x:v>
      </x:c>
      <x:c r="I190" s="14" t="str">
        <x:v>aws_cloudfront_origin_access_control, aws_cloudfront_distribution, aws_s3_bucket_policy</x:v>
      </x:c>
      <x:c r="J190" s="14" t="str">
        <x:v>cloudfront</x:v>
      </x:c>
      <x:c r="K190" s="14" t="str">
        <x:v>CloudFrontでReact表示、S3 URL403、SPA deep link確認</x:v>
      </x:c>
      <x:c r="L190" s="14" t="str">
        <x:v>price_class、default_root_object、SPA error response</x:v>
      </x:c>
      <x:c r="M190" s="14" t="str"/>
      <x:c r="N190" s="14" t="str"/>
      <x:c r="O190" s="14" t="str">
        <x:v>CloudFrontでReact表示、S3 URL403、SPA deep link確認</x:v>
      </x:c>
      <x:c r="P190" s="14" t="str"/>
      <x:c r="Q190" s="14" t="str"/>
      <x:c r="R190" s="14" t="str">
        <x:v>転送とHTTPS request</x:v>
      </x:c>
      <x:c r="S190" s="14" t="str">
        <x:v>TLS、OAC、S3公開禁止</x:v>
      </x:c>
      <x:c r="T190" s="14" t="str">
        <x:v>Distribution disable後にdestroy</x:v>
      </x:c>
      <x:c r="U190" s="14" t="str">
        <x:v>Step 16、17</x:v>
      </x:c>
      <x:c r="V190" s="84" t="str">
        <x:v>未着手</x:v>
      </x:c>
      <x:c r="W190" s="14" t="str">
        <x:v>疎通・動作確認</x:v>
      </x:c>
    </x:row>
    <x:row r="191" ht="58" customHeight="1">
      <x:c r="A191" s="14" t="n">
        <x:v>15</x:v>
      </x:c>
      <x:c r="B191" s="14" t="n">
        <x:v>10</x:v>
      </x:c>
      <x:c r="C191" s="14" t="str">
        <x:v>フロント配信</x:v>
      </x:c>
      <x:c r="D191" s="14" t="str">
        <x:v>Amazon CloudFront</x:v>
      </x:c>
      <x:c r="E191" s="14" t="str">
        <x:v>ReactをHTTPSで配信しS3を非公開化</x:v>
      </x:c>
      <x:c r="F191" s="14" t="str">
        <x:v>Step 4,11</x:v>
      </x:c>
      <x:c r="G191" s="14" t="str">
        <x:v>infra/environments/dev/50-frontend</x:v>
      </x:c>
      <x:c r="H191" s="14" t="str">
        <x:v>versions.tf, backend.hcl, providers.tf, cloudfront.tf, variables.tf, outputs.tf</x:v>
      </x:c>
      <x:c r="I191" s="14" t="str">
        <x:v>aws_cloudfront_origin_access_control, aws_cloudfront_distribution, aws_s3_bucket_policy</x:v>
      </x:c>
      <x:c r="J191" s="14" t="str">
        <x:v>cloudfront</x:v>
      </x:c>
      <x:c r="K191" s="14" t="str">
        <x:v>HTTPS配信成功、cache更新手順が機能</x:v>
      </x:c>
      <x:c r="L191" s="14" t="str">
        <x:v>price_class、default_root_object、SPA error response</x:v>
      </x:c>
      <x:c r="M191" s="14" t="str"/>
      <x:c r="N191" s="14" t="str"/>
      <x:c r="O191" s="14" t="str"/>
      <x:c r="P191" s="14" t="str">
        <x:v>HTTPS配信成功、cache更新手順が機能</x:v>
      </x:c>
      <x:c r="Q191" s="14" t="str"/>
      <x:c r="R191" s="14" t="str">
        <x:v>転送とHTTPS request</x:v>
      </x:c>
      <x:c r="S191" s="14" t="str">
        <x:v>TLS、OAC、S3公開禁止</x:v>
      </x:c>
      <x:c r="T191" s="14" t="str">
        <x:v>Distribution disable後にdestroy</x:v>
      </x:c>
      <x:c r="U191" s="14" t="str">
        <x:v>Step 16、17</x:v>
      </x:c>
      <x:c r="V191" s="84" t="str">
        <x:v>未着手</x:v>
      </x:c>
      <x:c r="W191" s="14" t="str">
        <x:v>成功条件確認</x:v>
      </x:c>
    </x:row>
    <x:row r="192" ht="58" customHeight="1">
      <x:c r="A192" s="14" t="n">
        <x:v>15</x:v>
      </x:c>
      <x:c r="B192" s="14" t="n">
        <x:v>11</x:v>
      </x:c>
      <x:c r="C192" s="14" t="str">
        <x:v>フロント配信</x:v>
      </x:c>
      <x:c r="D192" s="14" t="str">
        <x:v>Amazon CloudFront</x:v>
      </x:c>
      <x:c r="E192" s="14" t="str">
        <x:v>ReactをHTTPSで配信しS3を非公開化</x:v>
      </x:c>
      <x:c r="F192" s="14" t="str">
        <x:v>Step 4,11</x:v>
      </x:c>
      <x:c r="G192" s="14" t="str">
        <x:v>infra/environments/dev/50-frontend</x:v>
      </x:c>
      <x:c r="H192" s="14" t="str">
        <x:v>versions.tf, backend.hcl, providers.tf, cloudfront.tf, variables.tf, outputs.tf</x:v>
      </x:c>
      <x:c r="I192" s="14" t="str">
        <x:v>aws_cloudfront_origin_access_control, aws_cloudfront_distribution, aws_s3_bucket_policy</x:v>
      </x:c>
      <x:c r="J192" s="14" t="str">
        <x:v>cloudfront</x:v>
      </x:c>
      <x:c r="K192" s="14" t="str">
        <x:v>OAC policy、deploy待ち、index/error response</x:v>
      </x:c>
      <x:c r="L192" s="14" t="str">
        <x:v>price_class、default_root_object、SPA error response</x:v>
      </x:c>
      <x:c r="M192" s="14" t="str"/>
      <x:c r="N192" s="14" t="str"/>
      <x:c r="O192" s="14" t="str"/>
      <x:c r="P192" s="14" t="str"/>
      <x:c r="Q192" s="14" t="str">
        <x:v>OAC policy、deploy待ち、index/error response</x:v>
      </x:c>
      <x:c r="R192" s="14" t="str">
        <x:v>転送とHTTPS request</x:v>
      </x:c>
      <x:c r="S192" s="14" t="str">
        <x:v>TLS、OAC、S3公開禁止</x:v>
      </x:c>
      <x:c r="T192" s="14" t="str">
        <x:v>Distribution disable後にdestroy</x:v>
      </x:c>
      <x:c r="U192" s="14" t="str">
        <x:v>Step 16、17</x:v>
      </x:c>
      <x:c r="V192" s="84" t="str">
        <x:v>未着手</x:v>
      </x:c>
      <x:c r="W192" s="14" t="str">
        <x:v>失敗時確認</x:v>
      </x:c>
    </x:row>
    <x:row r="193" ht="58" customHeight="1">
      <x:c r="A193" s="14" t="n">
        <x:v>15</x:v>
      </x:c>
      <x:c r="B193" s="14" t="n">
        <x:v>12</x:v>
      </x:c>
      <x:c r="C193" s="14" t="str">
        <x:v>フロント配信</x:v>
      </x:c>
      <x:c r="D193" s="14" t="str">
        <x:v>Amazon CloudFront</x:v>
      </x:c>
      <x:c r="E193" s="14" t="str">
        <x:v>ReactをHTTPSで配信しS3を非公開化</x:v>
      </x:c>
      <x:c r="F193" s="14" t="str">
        <x:v>Step 4,11</x:v>
      </x:c>
      <x:c r="G193" s="14" t="str">
        <x:v>infra/environments/dev/50-frontend</x:v>
      </x:c>
      <x:c r="H193" s="14" t="str">
        <x:v>versions.tf, backend.hcl, providers.tf, cloudfront.tf, variables.tf, outputs.tf</x:v>
      </x:c>
      <x:c r="I193" s="14" t="str">
        <x:v>aws_cloudfront_origin_access_control, aws_cloudfront_distribution, aws_s3_bucket_policy</x:v>
      </x:c>
      <x:c r="J193" s="14" t="str">
        <x:v>cloudfront</x:v>
      </x:c>
      <x:c r="K193" s="14" t="str">
        <x:v>削除: Distribution disable後にdestroy / 次: Step 16、17</x:v>
      </x:c>
      <x:c r="L193" s="14" t="str">
        <x:v>price_class、default_root_object、SPA error response</x:v>
      </x:c>
      <x:c r="M193" s="14" t="str"/>
      <x:c r="N193" s="14" t="str"/>
      <x:c r="O193" s="14" t="str"/>
      <x:c r="P193" s="14" t="str"/>
      <x:c r="Q193" s="14" t="str"/>
      <x:c r="R193" s="14" t="str">
        <x:v>転送とHTTPS request</x:v>
      </x:c>
      <x:c r="S193" s="14" t="str">
        <x:v>TLS、OAC、S3公開禁止</x:v>
      </x:c>
      <x:c r="T193" s="14" t="str">
        <x:v>Distribution disable後にdestroy</x:v>
      </x:c>
      <x:c r="U193" s="14" t="str">
        <x:v>Step 16、17</x:v>
      </x:c>
      <x:c r="V193" s="84" t="str">
        <x:v>未着手</x:v>
      </x:c>
      <x:c r="W193" s="14" t="str">
        <x:v>依存・削除確認</x:v>
      </x:c>
    </x:row>
    <x:row r="194" ht="58" customHeight="1">
      <x:c r="A194" s="14" t="n">
        <x:v>16</x:v>
      </x:c>
      <x:c r="B194" s="14" t="n">
        <x:v>1</x:v>
      </x:c>
      <x:c r="C194" s="14" t="str">
        <x:v>ドメイン</x:v>
      </x:c>
      <x:c r="D194" s="14" t="str">
        <x:v>Amazon Route 53 / AWS Certificate Manager</x:v>
      </x:c>
      <x:c r="E194" s="14" t="str">
        <x:v>独自ドメインをCloudFrontへ設定</x:v>
      </x:c>
      <x:c r="F194" s="14" t="str">
        <x:v>Step 15</x:v>
      </x:c>
      <x:c r="G194" s="14" t="str">
        <x:v>infra/environments/dev/50-frontend</x:v>
      </x:c>
      <x:c r="H194" s="14" t="str">
        <x:v>providers.tf（us-east-1 alias）, dns_acm.tf, variables.tf, outputs.tf</x:v>
      </x:c>
      <x:c r="I194" s="14" t="str">
        <x:v>aws_acm_certificate, aws_acm_certificate_validation, aws_route53_record</x:v>
      </x:c>
      <x:c r="J194" s="14" t="str">
        <x:v>dns-acm</x:v>
      </x:c>
      <x:c r="K194" s="14" t="str">
        <x:v>対象ファイルを作成し、resourceとmoduleの責務を分ける。</x:v>
      </x:c>
      <x:c r="L194" s="14" t="str">
        <x:v>enable_custom_domain、domain_name、hosted_zone_id</x:v>
      </x:c>
      <x:c r="M194" s="14" t="str"/>
      <x:c r="N194" s="14" t="str"/>
      <x:c r="O194" s="14" t="str"/>
      <x:c r="P194" s="14" t="str"/>
      <x:c r="Q194" s="14" t="str"/>
      <x:c r="R194" s="14" t="str">
        <x:v>Hosted Zone約80円/月</x:v>
      </x:c>
      <x:c r="S194" s="14" t="str">
        <x:v>DNS/証明書変更権限を限定</x:v>
      </x:c>
      <x:c r="T194" s="14" t="str">
        <x:v>Alias→Distribution紐付け→certificate→Zone</x:v>
      </x:c>
      <x:c r="U194" s="14" t="str">
        <x:v>Step 17</x:v>
      </x:c>
      <x:c r="V194" s="84" t="str">
        <x:v>未着手</x:v>
      </x:c>
      <x:c r="W194" s="14" t="str">
        <x:v>対象ファイルの準備</x:v>
      </x:c>
    </x:row>
    <x:row r="195" ht="58" customHeight="1">
      <x:c r="A195" s="14" t="n">
        <x:v>16</x:v>
      </x:c>
      <x:c r="B195" s="14" t="n">
        <x:v>2</x:v>
      </x:c>
      <x:c r="C195" s="14" t="str">
        <x:v>ドメイン</x:v>
      </x:c>
      <x:c r="D195" s="14" t="str">
        <x:v>Amazon Route 53 / AWS Certificate Manager</x:v>
      </x:c>
      <x:c r="E195" s="14" t="str">
        <x:v>独自ドメインをCloudFrontへ設定</x:v>
      </x:c>
      <x:c r="F195" s="14" t="str">
        <x:v>Step 15</x:v>
      </x:c>
      <x:c r="G195" s="14" t="str">
        <x:v>infra/environments/dev/50-frontend</x:v>
      </x:c>
      <x:c r="H195" s="14" t="str">
        <x:v>providers.tf（us-east-1 alias）, dns_acm.tf, variables.tf, outputs.tf</x:v>
      </x:c>
      <x:c r="I195" s="14" t="str">
        <x:v>aws_acm_certificate, aws_acm_certificate_validation, aws_route53_record</x:v>
      </x:c>
      <x:c r="J195" s="14" t="str">
        <x:v>dns-acm</x:v>
      </x:c>
      <x:c r="K195" s="14" t="str">
        <x:v>非機密値だけをtfvarsまたは環境変数へ設定する。</x:v>
      </x:c>
      <x:c r="L195" s="14" t="str">
        <x:v>enable_custom_domain、domain_name、hosted_zone_id</x:v>
      </x:c>
      <x:c r="M195" s="14" t="str"/>
      <x:c r="N195" s="14" t="str"/>
      <x:c r="O195" s="14" t="str"/>
      <x:c r="P195" s="14" t="str"/>
      <x:c r="Q195" s="14" t="str"/>
      <x:c r="R195" s="14" t="str">
        <x:v>Hosted Zone約80円/月</x:v>
      </x:c>
      <x:c r="S195" s="14" t="str">
        <x:v>DNS/証明書変更権限を限定</x:v>
      </x:c>
      <x:c r="T195" s="14" t="str">
        <x:v>Alias→Distribution紐付け→certificate→Zone</x:v>
      </x:c>
      <x:c r="U195" s="14" t="str">
        <x:v>Step 17</x:v>
      </x:c>
      <x:c r="V195" s="84" t="str">
        <x:v>未着手</x:v>
      </x:c>
      <x:c r="W195" s="14" t="str">
        <x:v>設定値の準備</x:v>
      </x:c>
    </x:row>
    <x:row r="196" ht="58" customHeight="1">
      <x:c r="A196" s="14" t="n">
        <x:v>16</x:v>
      </x:c>
      <x:c r="B196" s="14" t="n">
        <x:v>3</x:v>
      </x:c>
      <x:c r="C196" s="14" t="str">
        <x:v>ドメイン</x:v>
      </x:c>
      <x:c r="D196" s="14" t="str">
        <x:v>Amazon Route 53 / AWS Certificate Manager</x:v>
      </x:c>
      <x:c r="E196" s="14" t="str">
        <x:v>独自ドメインをCloudFrontへ設定</x:v>
      </x:c>
      <x:c r="F196" s="14" t="str">
        <x:v>Step 15</x:v>
      </x:c>
      <x:c r="G196" s="14" t="str">
        <x:v>infra/environments/dev/50-frontend</x:v>
      </x:c>
      <x:c r="H196" s="14" t="str">
        <x:v>providers.tf（us-east-1 alias）, dns_acm.tf, variables.tf, outputs.tf</x:v>
      </x:c>
      <x:c r="I196" s="14" t="str">
        <x:v>aws_acm_certificate, aws_acm_certificate_validation, aws_route53_record</x:v>
      </x:c>
      <x:c r="J196" s="14" t="str">
        <x:v>dns-acm</x:v>
      </x:c>
      <x:c r="K196" s="14" t="str">
        <x:v>HCLファイルを自動整形する。</x:v>
      </x:c>
      <x:c r="L196" s="14" t="str">
        <x:v>enable_custom_domain、domain_name、hosted_zone_id</x:v>
      </x:c>
      <x:c r="M196" s="14" t="str">
        <x:v>`terraform fmt -recursive`</x:v>
      </x:c>
      <x:c r="N196" s="14" t="str"/>
      <x:c r="O196" s="14" t="str"/>
      <x:c r="P196" s="14" t="str"/>
      <x:c r="Q196" s="14" t="str"/>
      <x:c r="R196" s="14" t="str">
        <x:v>Hosted Zone約80円/月</x:v>
      </x:c>
      <x:c r="S196" s="14" t="str">
        <x:v>DNS/証明書変更権限を限定</x:v>
      </x:c>
      <x:c r="T196" s="14" t="str">
        <x:v>Alias→Distribution紐付け→certificate→Zone</x:v>
      </x:c>
      <x:c r="U196" s="14" t="str">
        <x:v>Step 17</x:v>
      </x:c>
      <x:c r="V196" s="84" t="str">
        <x:v>未着手</x:v>
      </x:c>
      <x:c r="W196" s="14" t="str">
        <x:v>terraform fmt</x:v>
      </x:c>
    </x:row>
    <x:row r="197" ht="58" customHeight="1">
      <x:c r="A197" s="14" t="n">
        <x:v>16</x:v>
      </x:c>
      <x:c r="B197" s="14" t="n">
        <x:v>4</x:v>
      </x:c>
      <x:c r="C197" s="14" t="str">
        <x:v>ドメイン</x:v>
      </x:c>
      <x:c r="D197" s="14" t="str">
        <x:v>Amazon Route 53 / AWS Certificate Manager</x:v>
      </x:c>
      <x:c r="E197" s="14" t="str">
        <x:v>独自ドメインをCloudFrontへ設定</x:v>
      </x:c>
      <x:c r="F197" s="14" t="str">
        <x:v>Step 15</x:v>
      </x:c>
      <x:c r="G197" s="14" t="str">
        <x:v>infra/environments/dev/50-frontend</x:v>
      </x:c>
      <x:c r="H197" s="14" t="str">
        <x:v>providers.tf（us-east-1 alias）, dns_acm.tf, variables.tf, outputs.tf</x:v>
      </x:c>
      <x:c r="I197" s="14" t="str">
        <x:v>aws_acm_certificate, aws_acm_certificate_validation, aws_route53_record</x:v>
      </x:c>
      <x:c r="J197" s="14" t="str">
        <x:v>dns-acm</x:v>
      </x:c>
      <x:c r="K197" s="14" t="str">
        <x:v>backend、Provider、moduleを初期化する。</x:v>
      </x:c>
      <x:c r="L197" s="14" t="str">
        <x:v>enable_custom_domain、domain_name、hosted_zone_id</x:v>
      </x:c>
      <x:c r="M197" s="14" t="str">
        <x:v>Provider alias追加時はinitを再実行。</x:v>
      </x:c>
      <x:c r="N197" s="14" t="str"/>
      <x:c r="O197" s="14" t="str"/>
      <x:c r="P197" s="14" t="str"/>
      <x:c r="Q197" s="14" t="str"/>
      <x:c r="R197" s="14" t="str">
        <x:v>Hosted Zone約80円/月</x:v>
      </x:c>
      <x:c r="S197" s="14" t="str">
        <x:v>DNS/証明書変更権限を限定</x:v>
      </x:c>
      <x:c r="T197" s="14" t="str">
        <x:v>Alias→Distribution紐付け→certificate→Zone</x:v>
      </x:c>
      <x:c r="U197" s="14" t="str">
        <x:v>Step 17</x:v>
      </x:c>
      <x:c r="V197" s="84" t="str">
        <x:v>未着手</x:v>
      </x:c>
      <x:c r="W197" s="14" t="str">
        <x:v>terraform init</x:v>
      </x:c>
    </x:row>
    <x:row r="198" ht="58" customHeight="1">
      <x:c r="A198" s="14" t="n">
        <x:v>16</x:v>
      </x:c>
      <x:c r="B198" s="14" t="n">
        <x:v>5</x:v>
      </x:c>
      <x:c r="C198" s="14" t="str">
        <x:v>ドメイン</x:v>
      </x:c>
      <x:c r="D198" s="14" t="str">
        <x:v>Amazon Route 53 / AWS Certificate Manager</x:v>
      </x:c>
      <x:c r="E198" s="14" t="str">
        <x:v>独自ドメインをCloudFrontへ設定</x:v>
      </x:c>
      <x:c r="F198" s="14" t="str">
        <x:v>Step 15</x:v>
      </x:c>
      <x:c r="G198" s="14" t="str">
        <x:v>infra/environments/dev/50-frontend</x:v>
      </x:c>
      <x:c r="H198" s="14" t="str">
        <x:v>providers.tf（us-east-1 alias）, dns_acm.tf, variables.tf, outputs.tf</x:v>
      </x:c>
      <x:c r="I198" s="14" t="str">
        <x:v>aws_acm_certificate, aws_acm_certificate_validation, aws_route53_record</x:v>
      </x:c>
      <x:c r="J198" s="14" t="str">
        <x:v>dns-acm</x:v>
      </x:c>
      <x:c r="K198" s="14" t="str">
        <x:v>`terraform validate`</x:v>
      </x:c>
      <x:c r="L198" s="14" t="str">
        <x:v>enable_custom_domain、domain_name、hosted_zone_id</x:v>
      </x:c>
      <x:c r="M198" s="14" t="str">
        <x:v>`terraform validate`</x:v>
      </x:c>
      <x:c r="N198" s="14" t="str"/>
      <x:c r="O198" s="14" t="str"/>
      <x:c r="P198" s="14" t="str"/>
      <x:c r="Q198" s="14" t="str"/>
      <x:c r="R198" s="14" t="str">
        <x:v>Hosted Zone約80円/月</x:v>
      </x:c>
      <x:c r="S198" s="14" t="str">
        <x:v>DNS/証明書変更権限を限定</x:v>
      </x:c>
      <x:c r="T198" s="14" t="str">
        <x:v>Alias→Distribution紐付け→certificate→Zone</x:v>
      </x:c>
      <x:c r="U198" s="14" t="str">
        <x:v>Step 17</x:v>
      </x:c>
      <x:c r="V198" s="84" t="str">
        <x:v>未着手</x:v>
      </x:c>
      <x:c r="W198" s="14" t="str">
        <x:v>terraform validate</x:v>
      </x:c>
    </x:row>
    <x:row r="199" ht="58" customHeight="1">
      <x:c r="A199" s="14" t="n">
        <x:v>16</x:v>
      </x:c>
      <x:c r="B199" s="14" t="n">
        <x:v>6</x:v>
      </x:c>
      <x:c r="C199" s="14" t="str">
        <x:v>ドメイン</x:v>
      </x:c>
      <x:c r="D199" s="14" t="str">
        <x:v>Amazon Route 53 / AWS Certificate Manager</x:v>
      </x:c>
      <x:c r="E199" s="14" t="str">
        <x:v>独自ドメインをCloudFrontへ設定</x:v>
      </x:c>
      <x:c r="F199" s="14" t="str">
        <x:v>Step 15</x:v>
      </x:c>
      <x:c r="G199" s="14" t="str">
        <x:v>infra/environments/dev/50-frontend</x:v>
      </x:c>
      <x:c r="H199" s="14" t="str">
        <x:v>providers.tf（us-east-1 alias）, dns_acm.tf, variables.tf, outputs.tf</x:v>
      </x:c>
      <x:c r="I199" s="14" t="str">
        <x:v>aws_acm_certificate, aws_acm_certificate_validation, aws_route53_record</x:v>
      </x:c>
      <x:c r="J199" s="14" t="str">
        <x:v>dns-acm</x:v>
      </x:c>
      <x:c r="K199" s="14" t="str">
        <x:v>`terraform plan -out=tfplan`</x:v>
      </x:c>
      <x:c r="L199" s="14" t="str">
        <x:v>enable_custom_domain、domain_name、hosted_zone_id</x:v>
      </x:c>
      <x:c r="M199" s="14" t="str">
        <x:v>`terraform plan -out=tfplan`</x:v>
      </x:c>
      <x:c r="N199" s="14" t="str"/>
      <x:c r="O199" s="14" t="str"/>
      <x:c r="P199" s="14" t="str"/>
      <x:c r="Q199" s="14" t="str"/>
      <x:c r="R199" s="14" t="str">
        <x:v>Hosted Zone約80円/月</x:v>
      </x:c>
      <x:c r="S199" s="14" t="str">
        <x:v>DNS/証明書変更権限を限定</x:v>
      </x:c>
      <x:c r="T199" s="14" t="str">
        <x:v>Alias→Distribution紐付け→certificate→Zone</x:v>
      </x:c>
      <x:c r="U199" s="14" t="str">
        <x:v>Step 17</x:v>
      </x:c>
      <x:c r="V199" s="84" t="str">
        <x:v>未着手</x:v>
      </x:c>
      <x:c r="W199" s="14" t="str">
        <x:v>terraform plan</x:v>
      </x:c>
    </x:row>
    <x:row r="200" ht="58" customHeight="1">
      <x:c r="A200" s="14" t="n">
        <x:v>16</x:v>
      </x:c>
      <x:c r="B200" s="14" t="n">
        <x:v>7</x:v>
      </x:c>
      <x:c r="C200" s="14" t="str">
        <x:v>ドメイン</x:v>
      </x:c>
      <x:c r="D200" s="14" t="str">
        <x:v>Amazon Route 53 / AWS Certificate Manager</x:v>
      </x:c>
      <x:c r="E200" s="14" t="str">
        <x:v>独自ドメインをCloudFrontへ設定</x:v>
      </x:c>
      <x:c r="F200" s="14" t="str">
        <x:v>Step 15</x:v>
      </x:c>
      <x:c r="G200" s="14" t="str">
        <x:v>infra/environments/dev/50-frontend</x:v>
      </x:c>
      <x:c r="H200" s="14" t="str">
        <x:v>providers.tf（us-east-1 alias）, dns_acm.tf, variables.tf, outputs.tf</x:v>
      </x:c>
      <x:c r="I200" s="14" t="str">
        <x:v>aws_acm_certificate, aws_acm_certificate_validation, aws_route53_record</x:v>
      </x:c>
      <x:c r="J200" s="14" t="str">
        <x:v>dns-acm</x:v>
      </x:c>
      <x:c r="K200" s="14" t="str">
        <x:v>`terraform apply tfplan`</x:v>
      </x:c>
      <x:c r="L200" s="14" t="str">
        <x:v>enable_custom_domain、domain_name、hosted_zone_id</x:v>
      </x:c>
      <x:c r="M200" s="14" t="str">
        <x:v>`terraform apply tfplan`</x:v>
      </x:c>
      <x:c r="N200" s="14" t="str"/>
      <x:c r="O200" s="14" t="str"/>
      <x:c r="P200" s="14" t="str"/>
      <x:c r="Q200" s="14" t="str"/>
      <x:c r="R200" s="14" t="str">
        <x:v>Hosted Zone約80円/月</x:v>
      </x:c>
      <x:c r="S200" s="14" t="str">
        <x:v>DNS/証明書変更権限を限定</x:v>
      </x:c>
      <x:c r="T200" s="14" t="str">
        <x:v>Alias→Distribution紐付け→certificate→Zone</x:v>
      </x:c>
      <x:c r="U200" s="14" t="str">
        <x:v>Step 17</x:v>
      </x:c>
      <x:c r="V200" s="84" t="str">
        <x:v>未着手</x:v>
      </x:c>
      <x:c r="W200" s="14" t="str">
        <x:v>terraform apply</x:v>
      </x:c>
    </x:row>
    <x:row r="201" ht="58" customHeight="1">
      <x:c r="A201" s="14" t="n">
        <x:v>16</x:v>
      </x:c>
      <x:c r="B201" s="14" t="n">
        <x:v>8</x:v>
      </x:c>
      <x:c r="C201" s="14" t="str">
        <x:v>ドメイン</x:v>
      </x:c>
      <x:c r="D201" s="14" t="str">
        <x:v>Amazon Route 53 / AWS Certificate Manager</x:v>
      </x:c>
      <x:c r="E201" s="14" t="str">
        <x:v>独自ドメインをCloudFrontへ設定</x:v>
      </x:c>
      <x:c r="F201" s="14" t="str">
        <x:v>Step 15</x:v>
      </x:c>
      <x:c r="G201" s="14" t="str">
        <x:v>infra/environments/dev/50-frontend</x:v>
      </x:c>
      <x:c r="H201" s="14" t="str">
        <x:v>providers.tf（us-east-1 alias）, dns_acm.tf, variables.tf, outputs.tf</x:v>
      </x:c>
      <x:c r="I201" s="14" t="str">
        <x:v>aws_acm_certificate, aws_acm_certificate_validation, aws_route53_record</x:v>
      </x:c>
      <x:c r="J201" s="14" t="str">
        <x:v>dns-acm</x:v>
      </x:c>
      <x:c r="K201" s="14" t="str">
        <x:v>ACM us-east-1のIssued、Route 53 Aliasを確認</x:v>
      </x:c>
      <x:c r="L201" s="14" t="str">
        <x:v>enable_custom_domain、domain_name、hosted_zone_id</x:v>
      </x:c>
      <x:c r="M201" s="14" t="str"/>
      <x:c r="N201" s="14" t="str">
        <x:v>ACM us-east-1のIssued、Route 53 Aliasを確認</x:v>
      </x:c>
      <x:c r="O201" s="14" t="str"/>
      <x:c r="P201" s="14" t="str"/>
      <x:c r="Q201" s="14" t="str"/>
      <x:c r="R201" s="14" t="str">
        <x:v>Hosted Zone約80円/月</x:v>
      </x:c>
      <x:c r="S201" s="14" t="str">
        <x:v>DNS/証明書変更権限を限定</x:v>
      </x:c>
      <x:c r="T201" s="14" t="str">
        <x:v>Alias→Distribution紐付け→certificate→Zone</x:v>
      </x:c>
      <x:c r="U201" s="14" t="str">
        <x:v>Step 17</x:v>
      </x:c>
      <x:c r="V201" s="84" t="str">
        <x:v>未着手</x:v>
      </x:c>
      <x:c r="W201" s="14" t="str">
        <x:v>AWSリソース確認</x:v>
      </x:c>
    </x:row>
    <x:row r="202" ht="58" customHeight="1">
      <x:c r="A202" s="14" t="n">
        <x:v>16</x:v>
      </x:c>
      <x:c r="B202" s="14" t="n">
        <x:v>9</x:v>
      </x:c>
      <x:c r="C202" s="14" t="str">
        <x:v>ドメイン</x:v>
      </x:c>
      <x:c r="D202" s="14" t="str">
        <x:v>Amazon Route 53 / AWS Certificate Manager</x:v>
      </x:c>
      <x:c r="E202" s="14" t="str">
        <x:v>独自ドメインをCloudFrontへ設定</x:v>
      </x:c>
      <x:c r="F202" s="14" t="str">
        <x:v>Step 15</x:v>
      </x:c>
      <x:c r="G202" s="14" t="str">
        <x:v>infra/environments/dev/50-frontend</x:v>
      </x:c>
      <x:c r="H202" s="14" t="str">
        <x:v>providers.tf（us-east-1 alias）, dns_acm.tf, variables.tf, outputs.tf</x:v>
      </x:c>
      <x:c r="I202" s="14" t="str">
        <x:v>aws_acm_certificate, aws_acm_certificate_validation, aws_route53_record</x:v>
      </x:c>
      <x:c r="J202" s="14" t="str">
        <x:v>dns-acm</x:v>
      </x:c>
      <x:c r="K202" s="14" t="str">
        <x:v>独自URLでHTTPS、証明書、CORSを確認</x:v>
      </x:c>
      <x:c r="L202" s="14" t="str">
        <x:v>enable_custom_domain、domain_name、hosted_zone_id</x:v>
      </x:c>
      <x:c r="M202" s="14" t="str"/>
      <x:c r="N202" s="14" t="str"/>
      <x:c r="O202" s="14" t="str">
        <x:v>独自URLでHTTPS、証明書、CORSを確認</x:v>
      </x:c>
      <x:c r="P202" s="14" t="str"/>
      <x:c r="Q202" s="14" t="str"/>
      <x:c r="R202" s="14" t="str">
        <x:v>Hosted Zone約80円/月</x:v>
      </x:c>
      <x:c r="S202" s="14" t="str">
        <x:v>DNS/証明書変更権限を限定</x:v>
      </x:c>
      <x:c r="T202" s="14" t="str">
        <x:v>Alias→Distribution紐付け→certificate→Zone</x:v>
      </x:c>
      <x:c r="U202" s="14" t="str">
        <x:v>Step 17</x:v>
      </x:c>
      <x:c r="V202" s="84" t="str">
        <x:v>未着手</x:v>
      </x:c>
      <x:c r="W202" s="14" t="str">
        <x:v>疎通・動作確認</x:v>
      </x:c>
    </x:row>
    <x:row r="203" ht="58" customHeight="1">
      <x:c r="A203" s="14" t="n">
        <x:v>16</x:v>
      </x:c>
      <x:c r="B203" s="14" t="n">
        <x:v>10</x:v>
      </x:c>
      <x:c r="C203" s="14" t="str">
        <x:v>ドメイン</x:v>
      </x:c>
      <x:c r="D203" s="14" t="str">
        <x:v>Amazon Route 53 / AWS Certificate Manager</x:v>
      </x:c>
      <x:c r="E203" s="14" t="str">
        <x:v>独自ドメインをCloudFrontへ設定</x:v>
      </x:c>
      <x:c r="F203" s="14" t="str">
        <x:v>Step 15</x:v>
      </x:c>
      <x:c r="G203" s="14" t="str">
        <x:v>infra/environments/dev/50-frontend</x:v>
      </x:c>
      <x:c r="H203" s="14" t="str">
        <x:v>providers.tf（us-east-1 alias）, dns_acm.tf, variables.tf, outputs.tf</x:v>
      </x:c>
      <x:c r="I203" s="14" t="str">
        <x:v>aws_acm_certificate, aws_acm_certificate_validation, aws_route53_record</x:v>
      </x:c>
      <x:c r="J203" s="14" t="str">
        <x:v>dns-acm</x:v>
      </x:c>
      <x:c r="K203" s="14" t="str">
        <x:v>DNS解決とTLSが正常</x:v>
      </x:c>
      <x:c r="L203" s="14" t="str">
        <x:v>enable_custom_domain、domain_name、hosted_zone_id</x:v>
      </x:c>
      <x:c r="M203" s="14" t="str"/>
      <x:c r="N203" s="14" t="str"/>
      <x:c r="O203" s="14" t="str"/>
      <x:c r="P203" s="14" t="str">
        <x:v>DNS解決とTLSが正常</x:v>
      </x:c>
      <x:c r="Q203" s="14" t="str"/>
      <x:c r="R203" s="14" t="str">
        <x:v>Hosted Zone約80円/月</x:v>
      </x:c>
      <x:c r="S203" s="14" t="str">
        <x:v>DNS/証明書変更権限を限定</x:v>
      </x:c>
      <x:c r="T203" s="14" t="str">
        <x:v>Alias→Distribution紐付け→certificate→Zone</x:v>
      </x:c>
      <x:c r="U203" s="14" t="str">
        <x:v>Step 17</x:v>
      </x:c>
      <x:c r="V203" s="84" t="str">
        <x:v>未着手</x:v>
      </x:c>
      <x:c r="W203" s="14" t="str">
        <x:v>成功条件確認</x:v>
      </x:c>
    </x:row>
    <x:row r="204" ht="58" customHeight="1">
      <x:c r="A204" s="14" t="n">
        <x:v>16</x:v>
      </x:c>
      <x:c r="B204" s="14" t="n">
        <x:v>11</x:v>
      </x:c>
      <x:c r="C204" s="14" t="str">
        <x:v>ドメイン</x:v>
      </x:c>
      <x:c r="D204" s="14" t="str">
        <x:v>Amazon Route 53 / AWS Certificate Manager</x:v>
      </x:c>
      <x:c r="E204" s="14" t="str">
        <x:v>独自ドメインをCloudFrontへ設定</x:v>
      </x:c>
      <x:c r="F204" s="14" t="str">
        <x:v>Step 15</x:v>
      </x:c>
      <x:c r="G204" s="14" t="str">
        <x:v>infra/environments/dev/50-frontend</x:v>
      </x:c>
      <x:c r="H204" s="14" t="str">
        <x:v>providers.tf（us-east-1 alias）, dns_acm.tf, variables.tf, outputs.tf</x:v>
      </x:c>
      <x:c r="I204" s="14" t="str">
        <x:v>aws_acm_certificate, aws_acm_certificate_validation, aws_route53_record</x:v>
      </x:c>
      <x:c r="J204" s="14" t="str">
        <x:v>dns-acm</x:v>
      </x:c>
      <x:c r="K204" s="14" t="str">
        <x:v>証明書Region、DNS validation、既存record、CORS</x:v>
      </x:c>
      <x:c r="L204" s="14" t="str">
        <x:v>enable_custom_domain、domain_name、hosted_zone_id</x:v>
      </x:c>
      <x:c r="M204" s="14" t="str"/>
      <x:c r="N204" s="14" t="str"/>
      <x:c r="O204" s="14" t="str"/>
      <x:c r="P204" s="14" t="str"/>
      <x:c r="Q204" s="14" t="str">
        <x:v>証明書Region、DNS validation、既存record、CORS</x:v>
      </x:c>
      <x:c r="R204" s="14" t="str">
        <x:v>Hosted Zone約80円/月</x:v>
      </x:c>
      <x:c r="S204" s="14" t="str">
        <x:v>DNS/証明書変更権限を限定</x:v>
      </x:c>
      <x:c r="T204" s="14" t="str">
        <x:v>Alias→Distribution紐付け→certificate→Zone</x:v>
      </x:c>
      <x:c r="U204" s="14" t="str">
        <x:v>Step 17</x:v>
      </x:c>
      <x:c r="V204" s="84" t="str">
        <x:v>未着手</x:v>
      </x:c>
      <x:c r="W204" s="14" t="str">
        <x:v>失敗時確認</x:v>
      </x:c>
    </x:row>
    <x:row r="205" ht="58" customHeight="1">
      <x:c r="A205" s="14" t="n">
        <x:v>16</x:v>
      </x:c>
      <x:c r="B205" s="14" t="n">
        <x:v>12</x:v>
      </x:c>
      <x:c r="C205" s="14" t="str">
        <x:v>ドメイン</x:v>
      </x:c>
      <x:c r="D205" s="14" t="str">
        <x:v>Amazon Route 53 / AWS Certificate Manager</x:v>
      </x:c>
      <x:c r="E205" s="14" t="str">
        <x:v>独自ドメインをCloudFrontへ設定</x:v>
      </x:c>
      <x:c r="F205" s="14" t="str">
        <x:v>Step 15</x:v>
      </x:c>
      <x:c r="G205" s="14" t="str">
        <x:v>infra/environments/dev/50-frontend</x:v>
      </x:c>
      <x:c r="H205" s="14" t="str">
        <x:v>providers.tf（us-east-1 alias）, dns_acm.tf, variables.tf, outputs.tf</x:v>
      </x:c>
      <x:c r="I205" s="14" t="str">
        <x:v>aws_acm_certificate, aws_acm_certificate_validation, aws_route53_record</x:v>
      </x:c>
      <x:c r="J205" s="14" t="str">
        <x:v>dns-acm</x:v>
      </x:c>
      <x:c r="K205" s="14" t="str">
        <x:v>削除: Alias→Distribution紐付け→certificate→Zone / 次: Step 17</x:v>
      </x:c>
      <x:c r="L205" s="14" t="str">
        <x:v>enable_custom_domain、domain_name、hosted_zone_id</x:v>
      </x:c>
      <x:c r="M205" s="14" t="str"/>
      <x:c r="N205" s="14" t="str"/>
      <x:c r="O205" s="14" t="str"/>
      <x:c r="P205" s="14" t="str"/>
      <x:c r="Q205" s="14" t="str"/>
      <x:c r="R205" s="14" t="str">
        <x:v>Hosted Zone約80円/月</x:v>
      </x:c>
      <x:c r="S205" s="14" t="str">
        <x:v>DNS/証明書変更権限を限定</x:v>
      </x:c>
      <x:c r="T205" s="14" t="str">
        <x:v>Alias→Distribution紐付け→certificate→Zone</x:v>
      </x:c>
      <x:c r="U205" s="14" t="str">
        <x:v>Step 17</x:v>
      </x:c>
      <x:c r="V205" s="84" t="str">
        <x:v>未着手</x:v>
      </x:c>
      <x:c r="W205" s="14" t="str">
        <x:v>依存・削除確認</x:v>
      </x:c>
    </x:row>
    <x:row r="206" ht="58" customHeight="1">
      <x:c r="A206" s="14" t="n">
        <x:v>17</x:v>
      </x:c>
      <x:c r="B206" s="14" t="n">
        <x:v>1</x:v>
      </x:c>
      <x:c r="C206" s="14" t="str">
        <x:v>監視・コスト制御</x:v>
      </x:c>
      <x:c r="D206" s="14" t="str">
        <x:v>Amazon CloudWatch / SNS / EventBridge Scheduler</x:v>
      </x:c>
      <x:c r="E206" s="14" t="str">
        <x:v>障害・滞留・停止忘れを検知</x:v>
      </x:c>
      <x:c r="F206" s="14" t="str">
        <x:v>Step 10-15</x:v>
      </x:c>
      <x:c r="G206" s="14" t="str">
        <x:v>infra/environments/dev/60-operations</x:v>
      </x:c>
      <x:c r="H206" s="14" t="str">
        <x:v>versions.tf, backend.hcl, providers.tf, monitoring.tf, scheduler.tf, variables.tf, outputs.tf</x:v>
      </x:c>
      <x:c r="I206" s="14" t="str">
        <x:v>aws_cloudwatch_log_group, aws_cloudwatch_metric_alarm, aws_sns_topic, aws_scheduler_schedule</x:v>
      </x:c>
      <x:c r="J206" s="14" t="str">
        <x:v>monitoring, cost-control</x:v>
      </x:c>
      <x:c r="K206" s="14" t="str">
        <x:v>対象ファイルを作成し、resourceとmoduleの責務を分ける。</x:v>
      </x:c>
      <x:c r="L206" s="14" t="str">
        <x:v>log_retention_days=14-30、alarm thresholds、RDS stop schedule</x:v>
      </x:c>
      <x:c r="M206" s="14" t="str"/>
      <x:c r="N206" s="14" t="str"/>
      <x:c r="O206" s="14" t="str"/>
      <x:c r="P206" s="14" t="str"/>
      <x:c r="Q206" s="14" t="str"/>
      <x:c r="R206" s="14" t="str">
        <x:v>LogsとAlarm</x:v>
      </x:c>
      <x:c r="S206" s="14" t="str">
        <x:v>ログ機密除外、Topic policy最小化</x:v>
      </x:c>
      <x:c r="T206" s="14" t="str">
        <x:v>Scheduler/Alarm/SNSをdestroy</x:v>
      </x:c>
      <x:c r="U206" s="14" t="str">
        <x:v>Step 18、運用開始</x:v>
      </x:c>
      <x:c r="V206" s="84" t="str">
        <x:v>未着手</x:v>
      </x:c>
      <x:c r="W206" s="14" t="str">
        <x:v>対象ファイルの準備</x:v>
      </x:c>
    </x:row>
    <x:row r="207" ht="58" customHeight="1">
      <x:c r="A207" s="14" t="n">
        <x:v>17</x:v>
      </x:c>
      <x:c r="B207" s="14" t="n">
        <x:v>2</x:v>
      </x:c>
      <x:c r="C207" s="14" t="str">
        <x:v>監視・コスト制御</x:v>
      </x:c>
      <x:c r="D207" s="14" t="str">
        <x:v>Amazon CloudWatch / SNS / EventBridge Scheduler</x:v>
      </x:c>
      <x:c r="E207" s="14" t="str">
        <x:v>障害・滞留・停止忘れを検知</x:v>
      </x:c>
      <x:c r="F207" s="14" t="str">
        <x:v>Step 10-15</x:v>
      </x:c>
      <x:c r="G207" s="14" t="str">
        <x:v>infra/environments/dev/60-operations</x:v>
      </x:c>
      <x:c r="H207" s="14" t="str">
        <x:v>versions.tf, backend.hcl, providers.tf, monitoring.tf, scheduler.tf, variables.tf, outputs.tf</x:v>
      </x:c>
      <x:c r="I207" s="14" t="str">
        <x:v>aws_cloudwatch_log_group, aws_cloudwatch_metric_alarm, aws_sns_topic, aws_scheduler_schedule</x:v>
      </x:c>
      <x:c r="J207" s="14" t="str">
        <x:v>monitoring, cost-control</x:v>
      </x:c>
      <x:c r="K207" s="14" t="str">
        <x:v>非機密値だけをtfvarsまたは環境変数へ設定する。</x:v>
      </x:c>
      <x:c r="L207" s="14" t="str">
        <x:v>log_retention_days=14-30、alarm thresholds、RDS stop schedule</x:v>
      </x:c>
      <x:c r="M207" s="14" t="str"/>
      <x:c r="N207" s="14" t="str"/>
      <x:c r="O207" s="14" t="str"/>
      <x:c r="P207" s="14" t="str"/>
      <x:c r="Q207" s="14" t="str"/>
      <x:c r="R207" s="14" t="str">
        <x:v>LogsとAlarm</x:v>
      </x:c>
      <x:c r="S207" s="14" t="str">
        <x:v>ログ機密除外、Topic policy最小化</x:v>
      </x:c>
      <x:c r="T207" s="14" t="str">
        <x:v>Scheduler/Alarm/SNSをdestroy</x:v>
      </x:c>
      <x:c r="U207" s="14" t="str">
        <x:v>Step 18、運用開始</x:v>
      </x:c>
      <x:c r="V207" s="84" t="str">
        <x:v>未着手</x:v>
      </x:c>
      <x:c r="W207" s="14" t="str">
        <x:v>設定値の準備</x:v>
      </x:c>
    </x:row>
    <x:row r="208" ht="58" customHeight="1">
      <x:c r="A208" s="14" t="n">
        <x:v>17</x:v>
      </x:c>
      <x:c r="B208" s="14" t="n">
        <x:v>3</x:v>
      </x:c>
      <x:c r="C208" s="14" t="str">
        <x:v>監視・コスト制御</x:v>
      </x:c>
      <x:c r="D208" s="14" t="str">
        <x:v>Amazon CloudWatch / SNS / EventBridge Scheduler</x:v>
      </x:c>
      <x:c r="E208" s="14" t="str">
        <x:v>障害・滞留・停止忘れを検知</x:v>
      </x:c>
      <x:c r="F208" s="14" t="str">
        <x:v>Step 10-15</x:v>
      </x:c>
      <x:c r="G208" s="14" t="str">
        <x:v>infra/environments/dev/60-operations</x:v>
      </x:c>
      <x:c r="H208" s="14" t="str">
        <x:v>versions.tf, backend.hcl, providers.tf, monitoring.tf, scheduler.tf, variables.tf, outputs.tf</x:v>
      </x:c>
      <x:c r="I208" s="14" t="str">
        <x:v>aws_cloudwatch_log_group, aws_cloudwatch_metric_alarm, aws_sns_topic, aws_scheduler_schedule</x:v>
      </x:c>
      <x:c r="J208" s="14" t="str">
        <x:v>monitoring, cost-control</x:v>
      </x:c>
      <x:c r="K208" s="14" t="str">
        <x:v>HCLファイルを自動整形する。</x:v>
      </x:c>
      <x:c r="L208" s="14" t="str">
        <x:v>log_retention_days=14-30、alarm thresholds、RDS stop schedule</x:v>
      </x:c>
      <x:c r="M208" s="14" t="str">
        <x:v>`terraform fmt -recursive`</x:v>
      </x:c>
      <x:c r="N208" s="14" t="str"/>
      <x:c r="O208" s="14" t="str"/>
      <x:c r="P208" s="14" t="str"/>
      <x:c r="Q208" s="14" t="str"/>
      <x:c r="R208" s="14" t="str">
        <x:v>LogsとAlarm</x:v>
      </x:c>
      <x:c r="S208" s="14" t="str">
        <x:v>ログ機密除外、Topic policy最小化</x:v>
      </x:c>
      <x:c r="T208" s="14" t="str">
        <x:v>Scheduler/Alarm/SNSをdestroy</x:v>
      </x:c>
      <x:c r="U208" s="14" t="str">
        <x:v>Step 18、運用開始</x:v>
      </x:c>
      <x:c r="V208" s="84" t="str">
        <x:v>未着手</x:v>
      </x:c>
      <x:c r="W208" s="14" t="str">
        <x:v>terraform fmt</x:v>
      </x:c>
    </x:row>
    <x:row r="209" ht="58" customHeight="1">
      <x:c r="A209" s="14" t="n">
        <x:v>17</x:v>
      </x:c>
      <x:c r="B209" s="14" t="n">
        <x:v>4</x:v>
      </x:c>
      <x:c r="C209" s="14" t="str">
        <x:v>監視・コスト制御</x:v>
      </x:c>
      <x:c r="D209" s="14" t="str">
        <x:v>Amazon CloudWatch / SNS / EventBridge Scheduler</x:v>
      </x:c>
      <x:c r="E209" s="14" t="str">
        <x:v>障害・滞留・停止忘れを検知</x:v>
      </x:c>
      <x:c r="F209" s="14" t="str">
        <x:v>Step 10-15</x:v>
      </x:c>
      <x:c r="G209" s="14" t="str">
        <x:v>infra/environments/dev/60-operations</x:v>
      </x:c>
      <x:c r="H209" s="14" t="str">
        <x:v>versions.tf, backend.hcl, providers.tf, monitoring.tf, scheduler.tf, variables.tf, outputs.tf</x:v>
      </x:c>
      <x:c r="I209" s="14" t="str">
        <x:v>aws_cloudwatch_log_group, aws_cloudwatch_metric_alarm, aws_sns_topic, aws_scheduler_schedule</x:v>
      </x:c>
      <x:c r="J209" s="14" t="str">
        <x:v>monitoring, cost-control</x:v>
      </x:c>
      <x:c r="K209" s="14" t="str">
        <x:v>backend、Provider、moduleを初期化する。</x:v>
      </x:c>
      <x:c r="L209" s="14" t="str">
        <x:v>log_retention_days=14-30、alarm thresholds、RDS stop schedule</x:v>
      </x:c>
      <x:c r="M209" s="14" t="str">
        <x:v>新root stackのためinit必要。</x:v>
      </x:c>
      <x:c r="N209" s="14" t="str"/>
      <x:c r="O209" s="14" t="str"/>
      <x:c r="P209" s="14" t="str"/>
      <x:c r="Q209" s="14" t="str"/>
      <x:c r="R209" s="14" t="str">
        <x:v>LogsとAlarm</x:v>
      </x:c>
      <x:c r="S209" s="14" t="str">
        <x:v>ログ機密除外、Topic policy最小化</x:v>
      </x:c>
      <x:c r="T209" s="14" t="str">
        <x:v>Scheduler/Alarm/SNSをdestroy</x:v>
      </x:c>
      <x:c r="U209" s="14" t="str">
        <x:v>Step 18、運用開始</x:v>
      </x:c>
      <x:c r="V209" s="84" t="str">
        <x:v>未着手</x:v>
      </x:c>
      <x:c r="W209" s="14" t="str">
        <x:v>terraform init</x:v>
      </x:c>
    </x:row>
    <x:row r="210" ht="58" customHeight="1">
      <x:c r="A210" s="14" t="n">
        <x:v>17</x:v>
      </x:c>
      <x:c r="B210" s="14" t="n">
        <x:v>5</x:v>
      </x:c>
      <x:c r="C210" s="14" t="str">
        <x:v>監視・コスト制御</x:v>
      </x:c>
      <x:c r="D210" s="14" t="str">
        <x:v>Amazon CloudWatch / SNS / EventBridge Scheduler</x:v>
      </x:c>
      <x:c r="E210" s="14" t="str">
        <x:v>障害・滞留・停止忘れを検知</x:v>
      </x:c>
      <x:c r="F210" s="14" t="str">
        <x:v>Step 10-15</x:v>
      </x:c>
      <x:c r="G210" s="14" t="str">
        <x:v>infra/environments/dev/60-operations</x:v>
      </x:c>
      <x:c r="H210" s="14" t="str">
        <x:v>versions.tf, backend.hcl, providers.tf, monitoring.tf, scheduler.tf, variables.tf, outputs.tf</x:v>
      </x:c>
      <x:c r="I210" s="14" t="str">
        <x:v>aws_cloudwatch_log_group, aws_cloudwatch_metric_alarm, aws_sns_topic, aws_scheduler_schedule</x:v>
      </x:c>
      <x:c r="J210" s="14" t="str">
        <x:v>monitoring, cost-control</x:v>
      </x:c>
      <x:c r="K210" s="14" t="str">
        <x:v>`terraform validate`</x:v>
      </x:c>
      <x:c r="L210" s="14" t="str">
        <x:v>log_retention_days=14-30、alarm thresholds、RDS stop schedule</x:v>
      </x:c>
      <x:c r="M210" s="14" t="str">
        <x:v>`terraform validate`</x:v>
      </x:c>
      <x:c r="N210" s="14" t="str"/>
      <x:c r="O210" s="14" t="str"/>
      <x:c r="P210" s="14" t="str"/>
      <x:c r="Q210" s="14" t="str"/>
      <x:c r="R210" s="14" t="str">
        <x:v>LogsとAlarm</x:v>
      </x:c>
      <x:c r="S210" s="14" t="str">
        <x:v>ログ機密除外、Topic policy最小化</x:v>
      </x:c>
      <x:c r="T210" s="14" t="str">
        <x:v>Scheduler/Alarm/SNSをdestroy</x:v>
      </x:c>
      <x:c r="U210" s="14" t="str">
        <x:v>Step 18、運用開始</x:v>
      </x:c>
      <x:c r="V210" s="84" t="str">
        <x:v>未着手</x:v>
      </x:c>
      <x:c r="W210" s="14" t="str">
        <x:v>terraform validate</x:v>
      </x:c>
    </x:row>
    <x:row r="211" ht="58" customHeight="1">
      <x:c r="A211" s="14" t="n">
        <x:v>17</x:v>
      </x:c>
      <x:c r="B211" s="14" t="n">
        <x:v>6</x:v>
      </x:c>
      <x:c r="C211" s="14" t="str">
        <x:v>監視・コスト制御</x:v>
      </x:c>
      <x:c r="D211" s="14" t="str">
        <x:v>Amazon CloudWatch / SNS / EventBridge Scheduler</x:v>
      </x:c>
      <x:c r="E211" s="14" t="str">
        <x:v>障害・滞留・停止忘れを検知</x:v>
      </x:c>
      <x:c r="F211" s="14" t="str">
        <x:v>Step 10-15</x:v>
      </x:c>
      <x:c r="G211" s="14" t="str">
        <x:v>infra/environments/dev/60-operations</x:v>
      </x:c>
      <x:c r="H211" s="14" t="str">
        <x:v>versions.tf, backend.hcl, providers.tf, monitoring.tf, scheduler.tf, variables.tf, outputs.tf</x:v>
      </x:c>
      <x:c r="I211" s="14" t="str">
        <x:v>aws_cloudwatch_log_group, aws_cloudwatch_metric_alarm, aws_sns_topic, aws_scheduler_schedule</x:v>
      </x:c>
      <x:c r="J211" s="14" t="str">
        <x:v>monitoring, cost-control</x:v>
      </x:c>
      <x:c r="K211" s="14" t="str">
        <x:v>`terraform plan -out=tfplan`</x:v>
      </x:c>
      <x:c r="L211" s="14" t="str">
        <x:v>log_retention_days=14-30、alarm thresholds、RDS stop schedule</x:v>
      </x:c>
      <x:c r="M211" s="14" t="str">
        <x:v>`terraform plan -out=tfplan`</x:v>
      </x:c>
      <x:c r="N211" s="14" t="str"/>
      <x:c r="O211" s="14" t="str"/>
      <x:c r="P211" s="14" t="str"/>
      <x:c r="Q211" s="14" t="str"/>
      <x:c r="R211" s="14" t="str">
        <x:v>LogsとAlarm</x:v>
      </x:c>
      <x:c r="S211" s="14" t="str">
        <x:v>ログ機密除外、Topic policy最小化</x:v>
      </x:c>
      <x:c r="T211" s="14" t="str">
        <x:v>Scheduler/Alarm/SNSをdestroy</x:v>
      </x:c>
      <x:c r="U211" s="14" t="str">
        <x:v>Step 18、運用開始</x:v>
      </x:c>
      <x:c r="V211" s="84" t="str">
        <x:v>未着手</x:v>
      </x:c>
      <x:c r="W211" s="14" t="str">
        <x:v>terraform plan</x:v>
      </x:c>
    </x:row>
    <x:row r="212" ht="58" customHeight="1">
      <x:c r="A212" s="14" t="n">
        <x:v>17</x:v>
      </x:c>
      <x:c r="B212" s="14" t="n">
        <x:v>7</x:v>
      </x:c>
      <x:c r="C212" s="14" t="str">
        <x:v>監視・コスト制御</x:v>
      </x:c>
      <x:c r="D212" s="14" t="str">
        <x:v>Amazon CloudWatch / SNS / EventBridge Scheduler</x:v>
      </x:c>
      <x:c r="E212" s="14" t="str">
        <x:v>障害・滞留・停止忘れを検知</x:v>
      </x:c>
      <x:c r="F212" s="14" t="str">
        <x:v>Step 10-15</x:v>
      </x:c>
      <x:c r="G212" s="14" t="str">
        <x:v>infra/environments/dev/60-operations</x:v>
      </x:c>
      <x:c r="H212" s="14" t="str">
        <x:v>versions.tf, backend.hcl, providers.tf, monitoring.tf, scheduler.tf, variables.tf, outputs.tf</x:v>
      </x:c>
      <x:c r="I212" s="14" t="str">
        <x:v>aws_cloudwatch_log_group, aws_cloudwatch_metric_alarm, aws_sns_topic, aws_scheduler_schedule</x:v>
      </x:c>
      <x:c r="J212" s="14" t="str">
        <x:v>monitoring, cost-control</x:v>
      </x:c>
      <x:c r="K212" s="14" t="str">
        <x:v>`terraform apply tfplan`</x:v>
      </x:c>
      <x:c r="L212" s="14" t="str">
        <x:v>log_retention_days=14-30、alarm thresholds、RDS stop schedule</x:v>
      </x:c>
      <x:c r="M212" s="14" t="str">
        <x:v>`terraform apply tfplan`</x:v>
      </x:c>
      <x:c r="N212" s="14" t="str"/>
      <x:c r="O212" s="14" t="str"/>
      <x:c r="P212" s="14" t="str"/>
      <x:c r="Q212" s="14" t="str"/>
      <x:c r="R212" s="14" t="str">
        <x:v>LogsとAlarm</x:v>
      </x:c>
      <x:c r="S212" s="14" t="str">
        <x:v>ログ機密除外、Topic policy最小化</x:v>
      </x:c>
      <x:c r="T212" s="14" t="str">
        <x:v>Scheduler/Alarm/SNSをdestroy</x:v>
      </x:c>
      <x:c r="U212" s="14" t="str">
        <x:v>Step 18、運用開始</x:v>
      </x:c>
      <x:c r="V212" s="84" t="str">
        <x:v>未着手</x:v>
      </x:c>
      <x:c r="W212" s="14" t="str">
        <x:v>terraform apply</x:v>
      </x:c>
    </x:row>
    <x:row r="213" ht="58" customHeight="1">
      <x:c r="A213" s="14" t="n">
        <x:v>17</x:v>
      </x:c>
      <x:c r="B213" s="14" t="n">
        <x:v>8</x:v>
      </x:c>
      <x:c r="C213" s="14" t="str">
        <x:v>監視・コスト制御</x:v>
      </x:c>
      <x:c r="D213" s="14" t="str">
        <x:v>Amazon CloudWatch / SNS / EventBridge Scheduler</x:v>
      </x:c>
      <x:c r="E213" s="14" t="str">
        <x:v>障害・滞留・停止忘れを検知</x:v>
      </x:c>
      <x:c r="F213" s="14" t="str">
        <x:v>Step 10-15</x:v>
      </x:c>
      <x:c r="G213" s="14" t="str">
        <x:v>infra/environments/dev/60-operations</x:v>
      </x:c>
      <x:c r="H213" s="14" t="str">
        <x:v>versions.tf, backend.hcl, providers.tf, monitoring.tf, scheduler.tf, variables.tf, outputs.tf</x:v>
      </x:c>
      <x:c r="I213" s="14" t="str">
        <x:v>aws_cloudwatch_log_group, aws_cloudwatch_metric_alarm, aws_sns_topic, aws_scheduler_schedule</x:v>
      </x:c>
      <x:c r="J213" s="14" t="str">
        <x:v>monitoring, cost-control</x:v>
      </x:c>
      <x:c r="K213" s="14" t="str">
        <x:v>Alarm、SNS subscription、Schedulerを確認</x:v>
      </x:c>
      <x:c r="L213" s="14" t="str">
        <x:v>log_retention_days=14-30、alarm thresholds、RDS stop schedule</x:v>
      </x:c>
      <x:c r="M213" s="14" t="str"/>
      <x:c r="N213" s="14" t="str">
        <x:v>Alarm、SNS subscription、Schedulerを確認</x:v>
      </x:c>
      <x:c r="O213" s="14" t="str"/>
      <x:c r="P213" s="14" t="str"/>
      <x:c r="Q213" s="14" t="str"/>
      <x:c r="R213" s="14" t="str">
        <x:v>LogsとAlarm</x:v>
      </x:c>
      <x:c r="S213" s="14" t="str">
        <x:v>ログ機密除外、Topic policy最小化</x:v>
      </x:c>
      <x:c r="T213" s="14" t="str">
        <x:v>Scheduler/Alarm/SNSをdestroy</x:v>
      </x:c>
      <x:c r="U213" s="14" t="str">
        <x:v>Step 18、運用開始</x:v>
      </x:c>
      <x:c r="V213" s="84" t="str">
        <x:v>未着手</x:v>
      </x:c>
      <x:c r="W213" s="14" t="str">
        <x:v>AWSリソース確認</x:v>
      </x:c>
    </x:row>
    <x:row r="214" ht="58" customHeight="1">
      <x:c r="A214" s="14" t="n">
        <x:v>17</x:v>
      </x:c>
      <x:c r="B214" s="14" t="n">
        <x:v>9</x:v>
      </x:c>
      <x:c r="C214" s="14" t="str">
        <x:v>監視・コスト制御</x:v>
      </x:c>
      <x:c r="D214" s="14" t="str">
        <x:v>Amazon CloudWatch / SNS / EventBridge Scheduler</x:v>
      </x:c>
      <x:c r="E214" s="14" t="str">
        <x:v>障害・滞留・停止忘れを検知</x:v>
      </x:c>
      <x:c r="F214" s="14" t="str">
        <x:v>Step 10-15</x:v>
      </x:c>
      <x:c r="G214" s="14" t="str">
        <x:v>infra/environments/dev/60-operations</x:v>
      </x:c>
      <x:c r="H214" s="14" t="str">
        <x:v>versions.tf, backend.hcl, providers.tf, monitoring.tf, scheduler.tf, variables.tf, outputs.tf</x:v>
      </x:c>
      <x:c r="I214" s="14" t="str">
        <x:v>aws_cloudwatch_log_group, aws_cloudwatch_metric_alarm, aws_sns_topic, aws_scheduler_schedule</x:v>
      </x:c>
      <x:c r="J214" s="14" t="str">
        <x:v>monitoring, cost-control</x:v>
      </x:c>
      <x:c r="K214" s="14" t="str">
        <x:v>意図的error/DLQで通知、RDS停止を確認</x:v>
      </x:c>
      <x:c r="L214" s="14" t="str">
        <x:v>log_retention_days=14-30、alarm thresholds、RDS stop schedule</x:v>
      </x:c>
      <x:c r="M214" s="14" t="str"/>
      <x:c r="N214" s="14" t="str"/>
      <x:c r="O214" s="14" t="str">
        <x:v>意図的error/DLQで通知、RDS停止を確認</x:v>
      </x:c>
      <x:c r="P214" s="14" t="str"/>
      <x:c r="Q214" s="14" t="str"/>
      <x:c r="R214" s="14" t="str">
        <x:v>LogsとAlarm</x:v>
      </x:c>
      <x:c r="S214" s="14" t="str">
        <x:v>ログ機密除外、Topic policy最小化</x:v>
      </x:c>
      <x:c r="T214" s="14" t="str">
        <x:v>Scheduler/Alarm/SNSをdestroy</x:v>
      </x:c>
      <x:c r="U214" s="14" t="str">
        <x:v>Step 18、運用開始</x:v>
      </x:c>
      <x:c r="V214" s="84" t="str">
        <x:v>未着手</x:v>
      </x:c>
      <x:c r="W214" s="14" t="str">
        <x:v>疎通・動作確認</x:v>
      </x:c>
    </x:row>
    <x:row r="215" ht="58" customHeight="1">
      <x:c r="A215" s="14" t="n">
        <x:v>17</x:v>
      </x:c>
      <x:c r="B215" s="14" t="n">
        <x:v>10</x:v>
      </x:c>
      <x:c r="C215" s="14" t="str">
        <x:v>監視・コスト制御</x:v>
      </x:c>
      <x:c r="D215" s="14" t="str">
        <x:v>Amazon CloudWatch / SNS / EventBridge Scheduler</x:v>
      </x:c>
      <x:c r="E215" s="14" t="str">
        <x:v>障害・滞留・停止忘れを検知</x:v>
      </x:c>
      <x:c r="F215" s="14" t="str">
        <x:v>Step 10-15</x:v>
      </x:c>
      <x:c r="G215" s="14" t="str">
        <x:v>infra/environments/dev/60-operations</x:v>
      </x:c>
      <x:c r="H215" s="14" t="str">
        <x:v>versions.tf, backend.hcl, providers.tf, monitoring.tf, scheduler.tf, variables.tf, outputs.tf</x:v>
      </x:c>
      <x:c r="I215" s="14" t="str">
        <x:v>aws_cloudwatch_log_group, aws_cloudwatch_metric_alarm, aws_sns_topic, aws_scheduler_schedule</x:v>
      </x:c>
      <x:c r="J215" s="14" t="str">
        <x:v>monitoring, cost-control</x:v>
      </x:c>
      <x:c r="K215" s="14" t="str">
        <x:v>通知が届き、保持期限と自動停止が有効</x:v>
      </x:c>
      <x:c r="L215" s="14" t="str">
        <x:v>log_retention_days=14-30、alarm thresholds、RDS stop schedule</x:v>
      </x:c>
      <x:c r="M215" s="14" t="str"/>
      <x:c r="N215" s="14" t="str"/>
      <x:c r="O215" s="14" t="str"/>
      <x:c r="P215" s="14" t="str">
        <x:v>通知が届き、保持期限と自動停止が有効</x:v>
      </x:c>
      <x:c r="Q215" s="14" t="str"/>
      <x:c r="R215" s="14" t="str">
        <x:v>LogsとAlarm</x:v>
      </x:c>
      <x:c r="S215" s="14" t="str">
        <x:v>ログ機密除外、Topic policy最小化</x:v>
      </x:c>
      <x:c r="T215" s="14" t="str">
        <x:v>Scheduler/Alarm/SNSをdestroy</x:v>
      </x:c>
      <x:c r="U215" s="14" t="str">
        <x:v>Step 18、運用開始</x:v>
      </x:c>
      <x:c r="V215" s="84" t="str">
        <x:v>未着手</x:v>
      </x:c>
      <x:c r="W215" s="14" t="str">
        <x:v>成功条件確認</x:v>
      </x:c>
    </x:row>
    <x:row r="216" ht="58" customHeight="1">
      <x:c r="A216" s="14" t="n">
        <x:v>17</x:v>
      </x:c>
      <x:c r="B216" s="14" t="n">
        <x:v>11</x:v>
      </x:c>
      <x:c r="C216" s="14" t="str">
        <x:v>監視・コスト制御</x:v>
      </x:c>
      <x:c r="D216" s="14" t="str">
        <x:v>Amazon CloudWatch / SNS / EventBridge Scheduler</x:v>
      </x:c>
      <x:c r="E216" s="14" t="str">
        <x:v>障害・滞留・停止忘れを検知</x:v>
      </x:c>
      <x:c r="F216" s="14" t="str">
        <x:v>Step 10-15</x:v>
      </x:c>
      <x:c r="G216" s="14" t="str">
        <x:v>infra/environments/dev/60-operations</x:v>
      </x:c>
      <x:c r="H216" s="14" t="str">
        <x:v>versions.tf, backend.hcl, providers.tf, monitoring.tf, scheduler.tf, variables.tf, outputs.tf</x:v>
      </x:c>
      <x:c r="I216" s="14" t="str">
        <x:v>aws_cloudwatch_log_group, aws_cloudwatch_metric_alarm, aws_sns_topic, aws_scheduler_schedule</x:v>
      </x:c>
      <x:c r="J216" s="14" t="str">
        <x:v>monitoring, cost-control</x:v>
      </x:c>
      <x:c r="K216" s="14" t="str">
        <x:v>SNS未確認、metric dimension、Scheduler Role/Timezone</x:v>
      </x:c>
      <x:c r="L216" s="14" t="str">
        <x:v>log_retention_days=14-30、alarm thresholds、RDS stop schedule</x:v>
      </x:c>
      <x:c r="M216" s="14" t="str"/>
      <x:c r="N216" s="14" t="str"/>
      <x:c r="O216" s="14" t="str"/>
      <x:c r="P216" s="14" t="str"/>
      <x:c r="Q216" s="14" t="str">
        <x:v>SNS未確認、metric dimension、Scheduler Role/Timezone</x:v>
      </x:c>
      <x:c r="R216" s="14" t="str">
        <x:v>LogsとAlarm</x:v>
      </x:c>
      <x:c r="S216" s="14" t="str">
        <x:v>ログ機密除外、Topic policy最小化</x:v>
      </x:c>
      <x:c r="T216" s="14" t="str">
        <x:v>Scheduler/Alarm/SNSをdestroy</x:v>
      </x:c>
      <x:c r="U216" s="14" t="str">
        <x:v>Step 18、運用開始</x:v>
      </x:c>
      <x:c r="V216" s="84" t="str">
        <x:v>未着手</x:v>
      </x:c>
      <x:c r="W216" s="14" t="str">
        <x:v>失敗時確認</x:v>
      </x:c>
    </x:row>
    <x:row r="217" ht="58" customHeight="1">
      <x:c r="A217" s="14" t="n">
        <x:v>17</x:v>
      </x:c>
      <x:c r="B217" s="14" t="n">
        <x:v>12</x:v>
      </x:c>
      <x:c r="C217" s="14" t="str">
        <x:v>監視・コスト制御</x:v>
      </x:c>
      <x:c r="D217" s="14" t="str">
        <x:v>Amazon CloudWatch / SNS / EventBridge Scheduler</x:v>
      </x:c>
      <x:c r="E217" s="14" t="str">
        <x:v>障害・滞留・停止忘れを検知</x:v>
      </x:c>
      <x:c r="F217" s="14" t="str">
        <x:v>Step 10-15</x:v>
      </x:c>
      <x:c r="G217" s="14" t="str">
        <x:v>infra/environments/dev/60-operations</x:v>
      </x:c>
      <x:c r="H217" s="14" t="str">
        <x:v>versions.tf, backend.hcl, providers.tf, monitoring.tf, scheduler.tf, variables.tf, outputs.tf</x:v>
      </x:c>
      <x:c r="I217" s="14" t="str">
        <x:v>aws_cloudwatch_log_group, aws_cloudwatch_metric_alarm, aws_sns_topic, aws_scheduler_schedule</x:v>
      </x:c>
      <x:c r="J217" s="14" t="str">
        <x:v>monitoring, cost-control</x:v>
      </x:c>
      <x:c r="K217" s="14" t="str">
        <x:v>削除: Scheduler/Alarm/SNSをdestroy / 次: Step 18、運用開始</x:v>
      </x:c>
      <x:c r="L217" s="14" t="str">
        <x:v>log_retention_days=14-30、alarm thresholds、RDS stop schedule</x:v>
      </x:c>
      <x:c r="M217" s="14" t="str"/>
      <x:c r="N217" s="14" t="str"/>
      <x:c r="O217" s="14" t="str"/>
      <x:c r="P217" s="14" t="str"/>
      <x:c r="Q217" s="14" t="str"/>
      <x:c r="R217" s="14" t="str">
        <x:v>LogsとAlarm</x:v>
      </x:c>
      <x:c r="S217" s="14" t="str">
        <x:v>ログ機密除外、Topic policy最小化</x:v>
      </x:c>
      <x:c r="T217" s="14" t="str">
        <x:v>Scheduler/Alarm/SNSをdestroy</x:v>
      </x:c>
      <x:c r="U217" s="14" t="str">
        <x:v>Step 18、運用開始</x:v>
      </x:c>
      <x:c r="V217" s="84" t="str">
        <x:v>未着手</x:v>
      </x:c>
      <x:c r="W217" s="14" t="str">
        <x:v>依存・削除確認</x:v>
      </x:c>
    </x:row>
    <x:row r="218" ht="58" customHeight="1">
      <x:c r="A218" s="14" t="n">
        <x:v>18</x:v>
      </x:c>
      <x:c r="B218" s="14" t="n">
        <x:v>1</x:v>
      </x:c>
      <x:c r="C218" s="14" t="str">
        <x:v>監査</x:v>
      </x:c>
      <x:c r="D218" s="14" t="str">
        <x:v>AWS CloudTrail / IAM Access Analyzer</x:v>
      </x:c>
      <x:c r="E218" s="14" t="str">
        <x:v>管理操作と外部公開を監査</x:v>
      </x:c>
      <x:c r="F218" s="14" t="str">
        <x:v>Step 1,17</x:v>
      </x:c>
      <x:c r="G218" s="14" t="str">
        <x:v>infra/environments/dev/60-operations</x:v>
      </x:c>
      <x:c r="H218" s="14" t="str">
        <x:v>audit.tf, variables.tf, outputs.tf</x:v>
      </x:c>
      <x:c r="I218" s="14" t="str">
        <x:v>aws_cloudtrail, aws_accessanalyzer_analyzer, audit用S3設定</x:v>
      </x:c>
      <x:c r="J218" s="14" t="str">
        <x:v>audit</x:v>
      </x:c>
      <x:c r="K218" s="14" t="str">
        <x:v>対象ファイルを作成し、resourceとmoduleの責務を分ける。</x:v>
      </x:c>
      <x:c r="L218" s="14" t="str">
        <x:v>management events、data events=false、log retention</x:v>
      </x:c>
      <x:c r="M218" s="14" t="str"/>
      <x:c r="N218" s="14" t="str"/>
      <x:c r="O218" s="14" t="str"/>
      <x:c r="P218" s="14" t="str"/>
      <x:c r="Q218" s="14" t="str"/>
      <x:c r="R218" s="14" t="str">
        <x:v>管理events中心</x:v>
      </x:c>
      <x:c r="S218" s="14" t="str">
        <x:v>audit bucket削除・書換権限を限定</x:v>
      </x:c>
      <x:c r="T218" s="14" t="str">
        <x:v>trail停止後Analyzer削除、ログ保持判断</x:v>
      </x:c>
      <x:c r="U218" s="14" t="str">
        <x:v>Step 19、完成判定</x:v>
      </x:c>
      <x:c r="V218" s="84" t="str">
        <x:v>未着手</x:v>
      </x:c>
      <x:c r="W218" s="14" t="str">
        <x:v>対象ファイルの準備</x:v>
      </x:c>
    </x:row>
    <x:row r="219" ht="58" customHeight="1">
      <x:c r="A219" s="14" t="n">
        <x:v>18</x:v>
      </x:c>
      <x:c r="B219" s="14" t="n">
        <x:v>2</x:v>
      </x:c>
      <x:c r="C219" s="14" t="str">
        <x:v>監査</x:v>
      </x:c>
      <x:c r="D219" s="14" t="str">
        <x:v>AWS CloudTrail / IAM Access Analyzer</x:v>
      </x:c>
      <x:c r="E219" s="14" t="str">
        <x:v>管理操作と外部公開を監査</x:v>
      </x:c>
      <x:c r="F219" s="14" t="str">
        <x:v>Step 1,17</x:v>
      </x:c>
      <x:c r="G219" s="14" t="str">
        <x:v>infra/environments/dev/60-operations</x:v>
      </x:c>
      <x:c r="H219" s="14" t="str">
        <x:v>audit.tf, variables.tf, outputs.tf</x:v>
      </x:c>
      <x:c r="I219" s="14" t="str">
        <x:v>aws_cloudtrail, aws_accessanalyzer_analyzer, audit用S3設定</x:v>
      </x:c>
      <x:c r="J219" s="14" t="str">
        <x:v>audit</x:v>
      </x:c>
      <x:c r="K219" s="14" t="str">
        <x:v>非機密値だけをtfvarsまたは環境変数へ設定する。</x:v>
      </x:c>
      <x:c r="L219" s="14" t="str">
        <x:v>management events、data events=false、log retention</x:v>
      </x:c>
      <x:c r="M219" s="14" t="str"/>
      <x:c r="N219" s="14" t="str"/>
      <x:c r="O219" s="14" t="str"/>
      <x:c r="P219" s="14" t="str"/>
      <x:c r="Q219" s="14" t="str"/>
      <x:c r="R219" s="14" t="str">
        <x:v>管理events中心</x:v>
      </x:c>
      <x:c r="S219" s="14" t="str">
        <x:v>audit bucket削除・書換権限を限定</x:v>
      </x:c>
      <x:c r="T219" s="14" t="str">
        <x:v>trail停止後Analyzer削除、ログ保持判断</x:v>
      </x:c>
      <x:c r="U219" s="14" t="str">
        <x:v>Step 19、完成判定</x:v>
      </x:c>
      <x:c r="V219" s="84" t="str">
        <x:v>未着手</x:v>
      </x:c>
      <x:c r="W219" s="14" t="str">
        <x:v>設定値の準備</x:v>
      </x:c>
    </x:row>
    <x:row r="220" ht="58" customHeight="1">
      <x:c r="A220" s="14" t="n">
        <x:v>18</x:v>
      </x:c>
      <x:c r="B220" s="14" t="n">
        <x:v>3</x:v>
      </x:c>
      <x:c r="C220" s="14" t="str">
        <x:v>監査</x:v>
      </x:c>
      <x:c r="D220" s="14" t="str">
        <x:v>AWS CloudTrail / IAM Access Analyzer</x:v>
      </x:c>
      <x:c r="E220" s="14" t="str">
        <x:v>管理操作と外部公開を監査</x:v>
      </x:c>
      <x:c r="F220" s="14" t="str">
        <x:v>Step 1,17</x:v>
      </x:c>
      <x:c r="G220" s="14" t="str">
        <x:v>infra/environments/dev/60-operations</x:v>
      </x:c>
      <x:c r="H220" s="14" t="str">
        <x:v>audit.tf, variables.tf, outputs.tf</x:v>
      </x:c>
      <x:c r="I220" s="14" t="str">
        <x:v>aws_cloudtrail, aws_accessanalyzer_analyzer, audit用S3設定</x:v>
      </x:c>
      <x:c r="J220" s="14" t="str">
        <x:v>audit</x:v>
      </x:c>
      <x:c r="K220" s="14" t="str">
        <x:v>HCLファイルを自動整形する。</x:v>
      </x:c>
      <x:c r="L220" s="14" t="str">
        <x:v>management events、data events=false、log retention</x:v>
      </x:c>
      <x:c r="M220" s="14" t="str">
        <x:v>`terraform fmt -recursive`</x:v>
      </x:c>
      <x:c r="N220" s="14" t="str"/>
      <x:c r="O220" s="14" t="str"/>
      <x:c r="P220" s="14" t="str"/>
      <x:c r="Q220" s="14" t="str"/>
      <x:c r="R220" s="14" t="str">
        <x:v>管理events中心</x:v>
      </x:c>
      <x:c r="S220" s="14" t="str">
        <x:v>audit bucket削除・書換権限を限定</x:v>
      </x:c>
      <x:c r="T220" s="14" t="str">
        <x:v>trail停止後Analyzer削除、ログ保持判断</x:v>
      </x:c>
      <x:c r="U220" s="14" t="str">
        <x:v>Step 19、完成判定</x:v>
      </x:c>
      <x:c r="V220" s="84" t="str">
        <x:v>未着手</x:v>
      </x:c>
      <x:c r="W220" s="14" t="str">
        <x:v>terraform fmt</x:v>
      </x:c>
    </x:row>
    <x:row r="221" ht="58" customHeight="1">
      <x:c r="A221" s="14" t="n">
        <x:v>18</x:v>
      </x:c>
      <x:c r="B221" s="14" t="n">
        <x:v>4</x:v>
      </x:c>
      <x:c r="C221" s="14" t="str">
        <x:v>監査</x:v>
      </x:c>
      <x:c r="D221" s="14" t="str">
        <x:v>AWS CloudTrail / IAM Access Analyzer</x:v>
      </x:c>
      <x:c r="E221" s="14" t="str">
        <x:v>管理操作と外部公開を監査</x:v>
      </x:c>
      <x:c r="F221" s="14" t="str">
        <x:v>Step 1,17</x:v>
      </x:c>
      <x:c r="G221" s="14" t="str">
        <x:v>infra/environments/dev/60-operations</x:v>
      </x:c>
      <x:c r="H221" s="14" t="str">
        <x:v>audit.tf, variables.tf, outputs.tf</x:v>
      </x:c>
      <x:c r="I221" s="14" t="str">
        <x:v>aws_cloudtrail, aws_accessanalyzer_analyzer, audit用S3設定</x:v>
      </x:c>
      <x:c r="J221" s="14" t="str">
        <x:v>audit</x:v>
      </x:c>
      <x:c r="K221" s="14" t="str">
        <x:v>backend、Provider、moduleを初期化する。</x:v>
      </x:c>
      <x:c r="L221" s="14" t="str">
        <x:v>management events、data events=false、log retention</x:v>
      </x:c>
      <x:c r="M221" s="14" t="str">
        <x:v>同一operations stack。通常不要。</x:v>
      </x:c>
      <x:c r="N221" s="14" t="str"/>
      <x:c r="O221" s="14" t="str"/>
      <x:c r="P221" s="14" t="str"/>
      <x:c r="Q221" s="14" t="str"/>
      <x:c r="R221" s="14" t="str">
        <x:v>管理events中心</x:v>
      </x:c>
      <x:c r="S221" s="14" t="str">
        <x:v>audit bucket削除・書換権限を限定</x:v>
      </x:c>
      <x:c r="T221" s="14" t="str">
        <x:v>trail停止後Analyzer削除、ログ保持判断</x:v>
      </x:c>
      <x:c r="U221" s="14" t="str">
        <x:v>Step 19、完成判定</x:v>
      </x:c>
      <x:c r="V221" s="84" t="str">
        <x:v>未着手</x:v>
      </x:c>
      <x:c r="W221" s="14" t="str">
        <x:v>terraform init</x:v>
      </x:c>
    </x:row>
    <x:row r="222" ht="58" customHeight="1">
      <x:c r="A222" s="14" t="n">
        <x:v>18</x:v>
      </x:c>
      <x:c r="B222" s="14" t="n">
        <x:v>5</x:v>
      </x:c>
      <x:c r="C222" s="14" t="str">
        <x:v>監査</x:v>
      </x:c>
      <x:c r="D222" s="14" t="str">
        <x:v>AWS CloudTrail / IAM Access Analyzer</x:v>
      </x:c>
      <x:c r="E222" s="14" t="str">
        <x:v>管理操作と外部公開を監査</x:v>
      </x:c>
      <x:c r="F222" s="14" t="str">
        <x:v>Step 1,17</x:v>
      </x:c>
      <x:c r="G222" s="14" t="str">
        <x:v>infra/environments/dev/60-operations</x:v>
      </x:c>
      <x:c r="H222" s="14" t="str">
        <x:v>audit.tf, variables.tf, outputs.tf</x:v>
      </x:c>
      <x:c r="I222" s="14" t="str">
        <x:v>aws_cloudtrail, aws_accessanalyzer_analyzer, audit用S3設定</x:v>
      </x:c>
      <x:c r="J222" s="14" t="str">
        <x:v>audit</x:v>
      </x:c>
      <x:c r="K222" s="14" t="str">
        <x:v>`terraform validate`</x:v>
      </x:c>
      <x:c r="L222" s="14" t="str">
        <x:v>management events、data events=false、log retention</x:v>
      </x:c>
      <x:c r="M222" s="14" t="str">
        <x:v>`terraform validate`</x:v>
      </x:c>
      <x:c r="N222" s="14" t="str"/>
      <x:c r="O222" s="14" t="str"/>
      <x:c r="P222" s="14" t="str"/>
      <x:c r="Q222" s="14" t="str"/>
      <x:c r="R222" s="14" t="str">
        <x:v>管理events中心</x:v>
      </x:c>
      <x:c r="S222" s="14" t="str">
        <x:v>audit bucket削除・書換権限を限定</x:v>
      </x:c>
      <x:c r="T222" s="14" t="str">
        <x:v>trail停止後Analyzer削除、ログ保持判断</x:v>
      </x:c>
      <x:c r="U222" s="14" t="str">
        <x:v>Step 19、完成判定</x:v>
      </x:c>
      <x:c r="V222" s="84" t="str">
        <x:v>未着手</x:v>
      </x:c>
      <x:c r="W222" s="14" t="str">
        <x:v>terraform validate</x:v>
      </x:c>
    </x:row>
    <x:row r="223" ht="58" customHeight="1">
      <x:c r="A223" s="14" t="n">
        <x:v>18</x:v>
      </x:c>
      <x:c r="B223" s="14" t="n">
        <x:v>6</x:v>
      </x:c>
      <x:c r="C223" s="14" t="str">
        <x:v>監査</x:v>
      </x:c>
      <x:c r="D223" s="14" t="str">
        <x:v>AWS CloudTrail / IAM Access Analyzer</x:v>
      </x:c>
      <x:c r="E223" s="14" t="str">
        <x:v>管理操作と外部公開を監査</x:v>
      </x:c>
      <x:c r="F223" s="14" t="str">
        <x:v>Step 1,17</x:v>
      </x:c>
      <x:c r="G223" s="14" t="str">
        <x:v>infra/environments/dev/60-operations</x:v>
      </x:c>
      <x:c r="H223" s="14" t="str">
        <x:v>audit.tf, variables.tf, outputs.tf</x:v>
      </x:c>
      <x:c r="I223" s="14" t="str">
        <x:v>aws_cloudtrail, aws_accessanalyzer_analyzer, audit用S3設定</x:v>
      </x:c>
      <x:c r="J223" s="14" t="str">
        <x:v>audit</x:v>
      </x:c>
      <x:c r="K223" s="14" t="str">
        <x:v>`terraform plan -out=tfplan`</x:v>
      </x:c>
      <x:c r="L223" s="14" t="str">
        <x:v>management events、data events=false、log retention</x:v>
      </x:c>
      <x:c r="M223" s="14" t="str">
        <x:v>`terraform plan -out=tfplan`</x:v>
      </x:c>
      <x:c r="N223" s="14" t="str"/>
      <x:c r="O223" s="14" t="str"/>
      <x:c r="P223" s="14" t="str"/>
      <x:c r="Q223" s="14" t="str"/>
      <x:c r="R223" s="14" t="str">
        <x:v>管理events中心</x:v>
      </x:c>
      <x:c r="S223" s="14" t="str">
        <x:v>audit bucket削除・書換権限を限定</x:v>
      </x:c>
      <x:c r="T223" s="14" t="str">
        <x:v>trail停止後Analyzer削除、ログ保持判断</x:v>
      </x:c>
      <x:c r="U223" s="14" t="str">
        <x:v>Step 19、完成判定</x:v>
      </x:c>
      <x:c r="V223" s="84" t="str">
        <x:v>未着手</x:v>
      </x:c>
      <x:c r="W223" s="14" t="str">
        <x:v>terraform plan</x:v>
      </x:c>
    </x:row>
    <x:row r="224" ht="58" customHeight="1">
      <x:c r="A224" s="14" t="n">
        <x:v>18</x:v>
      </x:c>
      <x:c r="B224" s="14" t="n">
        <x:v>7</x:v>
      </x:c>
      <x:c r="C224" s="14" t="str">
        <x:v>監査</x:v>
      </x:c>
      <x:c r="D224" s="14" t="str">
        <x:v>AWS CloudTrail / IAM Access Analyzer</x:v>
      </x:c>
      <x:c r="E224" s="14" t="str">
        <x:v>管理操作と外部公開を監査</x:v>
      </x:c>
      <x:c r="F224" s="14" t="str">
        <x:v>Step 1,17</x:v>
      </x:c>
      <x:c r="G224" s="14" t="str">
        <x:v>infra/environments/dev/60-operations</x:v>
      </x:c>
      <x:c r="H224" s="14" t="str">
        <x:v>audit.tf, variables.tf, outputs.tf</x:v>
      </x:c>
      <x:c r="I224" s="14" t="str">
        <x:v>aws_cloudtrail, aws_accessanalyzer_analyzer, audit用S3設定</x:v>
      </x:c>
      <x:c r="J224" s="14" t="str">
        <x:v>audit</x:v>
      </x:c>
      <x:c r="K224" s="14" t="str">
        <x:v>`terraform apply tfplan`</x:v>
      </x:c>
      <x:c r="L224" s="14" t="str">
        <x:v>management events、data events=false、log retention</x:v>
      </x:c>
      <x:c r="M224" s="14" t="str">
        <x:v>`terraform apply tfplan`</x:v>
      </x:c>
      <x:c r="N224" s="14" t="str"/>
      <x:c r="O224" s="14" t="str"/>
      <x:c r="P224" s="14" t="str"/>
      <x:c r="Q224" s="14" t="str"/>
      <x:c r="R224" s="14" t="str">
        <x:v>管理events中心</x:v>
      </x:c>
      <x:c r="S224" s="14" t="str">
        <x:v>audit bucket削除・書換権限を限定</x:v>
      </x:c>
      <x:c r="T224" s="14" t="str">
        <x:v>trail停止後Analyzer削除、ログ保持判断</x:v>
      </x:c>
      <x:c r="U224" s="14" t="str">
        <x:v>Step 19、完成判定</x:v>
      </x:c>
      <x:c r="V224" s="84" t="str">
        <x:v>未着手</x:v>
      </x:c>
      <x:c r="W224" s="14" t="str">
        <x:v>terraform apply</x:v>
      </x:c>
    </x:row>
    <x:row r="225" ht="58" customHeight="1">
      <x:c r="A225" s="14" t="n">
        <x:v>18</x:v>
      </x:c>
      <x:c r="B225" s="14" t="n">
        <x:v>8</x:v>
      </x:c>
      <x:c r="C225" s="14" t="str">
        <x:v>監査</x:v>
      </x:c>
      <x:c r="D225" s="14" t="str">
        <x:v>AWS CloudTrail / IAM Access Analyzer</x:v>
      </x:c>
      <x:c r="E225" s="14" t="str">
        <x:v>管理操作と外部公開を監査</x:v>
      </x:c>
      <x:c r="F225" s="14" t="str">
        <x:v>Step 1,17</x:v>
      </x:c>
      <x:c r="G225" s="14" t="str">
        <x:v>infra/environments/dev/60-operations</x:v>
      </x:c>
      <x:c r="H225" s="14" t="str">
        <x:v>audit.tf, variables.tf, outputs.tf</x:v>
      </x:c>
      <x:c r="I225" s="14" t="str">
        <x:v>aws_cloudtrail, aws_accessanalyzer_analyzer, audit用S3設定</x:v>
      </x:c>
      <x:c r="J225" s="14" t="str">
        <x:v>audit</x:v>
      </x:c>
      <x:c r="K225" s="14" t="str">
        <x:v>CloudTrail status、S3 log、Analyzer findingsを確認</x:v>
      </x:c>
      <x:c r="L225" s="14" t="str">
        <x:v>management events、data events=false、log retention</x:v>
      </x:c>
      <x:c r="M225" s="14" t="str"/>
      <x:c r="N225" s="14" t="str">
        <x:v>CloudTrail status、S3 log、Analyzer findingsを確認</x:v>
      </x:c>
      <x:c r="O225" s="14" t="str"/>
      <x:c r="P225" s="14" t="str"/>
      <x:c r="Q225" s="14" t="str"/>
      <x:c r="R225" s="14" t="str">
        <x:v>管理events中心</x:v>
      </x:c>
      <x:c r="S225" s="14" t="str">
        <x:v>audit bucket削除・書換権限を限定</x:v>
      </x:c>
      <x:c r="T225" s="14" t="str">
        <x:v>trail停止後Analyzer削除、ログ保持判断</x:v>
      </x:c>
      <x:c r="U225" s="14" t="str">
        <x:v>Step 19、完成判定</x:v>
      </x:c>
      <x:c r="V225" s="84" t="str">
        <x:v>未着手</x:v>
      </x:c>
      <x:c r="W225" s="14" t="str">
        <x:v>AWSリソース確認</x:v>
      </x:c>
    </x:row>
    <x:row r="226" ht="58" customHeight="1">
      <x:c r="A226" s="14" t="n">
        <x:v>18</x:v>
      </x:c>
      <x:c r="B226" s="14" t="n">
        <x:v>9</x:v>
      </x:c>
      <x:c r="C226" s="14" t="str">
        <x:v>監査</x:v>
      </x:c>
      <x:c r="D226" s="14" t="str">
        <x:v>AWS CloudTrail / IAM Access Analyzer</x:v>
      </x:c>
      <x:c r="E226" s="14" t="str">
        <x:v>管理操作と外部公開を監査</x:v>
      </x:c>
      <x:c r="F226" s="14" t="str">
        <x:v>Step 1,17</x:v>
      </x:c>
      <x:c r="G226" s="14" t="str">
        <x:v>infra/environments/dev/60-operations</x:v>
      </x:c>
      <x:c r="H226" s="14" t="str">
        <x:v>audit.tf, variables.tf, outputs.tf</x:v>
      </x:c>
      <x:c r="I226" s="14" t="str">
        <x:v>aws_cloudtrail, aws_accessanalyzer_analyzer, audit用S3設定</x:v>
      </x:c>
      <x:c r="J226" s="14" t="str">
        <x:v>audit</x:v>
      </x:c>
      <x:c r="K226" s="14" t="str">
        <x:v>テストタグ変更後にevent履歴を確認</x:v>
      </x:c>
      <x:c r="L226" s="14" t="str">
        <x:v>management events、data events=false、log retention</x:v>
      </x:c>
      <x:c r="M226" s="14" t="str"/>
      <x:c r="N226" s="14" t="str"/>
      <x:c r="O226" s="14" t="str">
        <x:v>テストタグ変更後にevent履歴を確認</x:v>
      </x:c>
      <x:c r="P226" s="14" t="str"/>
      <x:c r="Q226" s="14" t="str"/>
      <x:c r="R226" s="14" t="str">
        <x:v>管理events中心</x:v>
      </x:c>
      <x:c r="S226" s="14" t="str">
        <x:v>audit bucket削除・書換権限を限定</x:v>
      </x:c>
      <x:c r="T226" s="14" t="str">
        <x:v>trail停止後Analyzer削除、ログ保持判断</x:v>
      </x:c>
      <x:c r="U226" s="14" t="str">
        <x:v>Step 19、完成判定</x:v>
      </x:c>
      <x:c r="V226" s="84" t="str">
        <x:v>未着手</x:v>
      </x:c>
      <x:c r="W226" s="14" t="str">
        <x:v>疎通・動作確認</x:v>
      </x:c>
    </x:row>
    <x:row r="227" ht="58" customHeight="1">
      <x:c r="A227" s="14" t="n">
        <x:v>18</x:v>
      </x:c>
      <x:c r="B227" s="14" t="n">
        <x:v>10</x:v>
      </x:c>
      <x:c r="C227" s="14" t="str">
        <x:v>監査</x:v>
      </x:c>
      <x:c r="D227" s="14" t="str">
        <x:v>AWS CloudTrail / IAM Access Analyzer</x:v>
      </x:c>
      <x:c r="E227" s="14" t="str">
        <x:v>管理操作と外部公開を監査</x:v>
      </x:c>
      <x:c r="F227" s="14" t="str">
        <x:v>Step 1,17</x:v>
      </x:c>
      <x:c r="G227" s="14" t="str">
        <x:v>infra/environments/dev/60-operations</x:v>
      </x:c>
      <x:c r="H227" s="14" t="str">
        <x:v>audit.tf, variables.tf, outputs.tf</x:v>
      </x:c>
      <x:c r="I227" s="14" t="str">
        <x:v>aws_cloudtrail, aws_accessanalyzer_analyzer, audit用S3設定</x:v>
      </x:c>
      <x:c r="J227" s="14" t="str">
        <x:v>audit</x:v>
      </x:c>
      <x:c r="K227" s="14" t="str">
        <x:v>管理イベント記録、意図しないExternal findingなし</x:v>
      </x:c>
      <x:c r="L227" s="14" t="str">
        <x:v>management events、data events=false、log retention</x:v>
      </x:c>
      <x:c r="M227" s="14" t="str"/>
      <x:c r="N227" s="14" t="str"/>
      <x:c r="O227" s="14" t="str"/>
      <x:c r="P227" s="14" t="str">
        <x:v>管理イベント記録、意図しないExternal findingなし</x:v>
      </x:c>
      <x:c r="Q227" s="14" t="str"/>
      <x:c r="R227" s="14" t="str">
        <x:v>管理events中心</x:v>
      </x:c>
      <x:c r="S227" s="14" t="str">
        <x:v>audit bucket削除・書換権限を限定</x:v>
      </x:c>
      <x:c r="T227" s="14" t="str">
        <x:v>trail停止後Analyzer削除、ログ保持判断</x:v>
      </x:c>
      <x:c r="U227" s="14" t="str">
        <x:v>Step 19、完成判定</x:v>
      </x:c>
      <x:c r="V227" s="84" t="str">
        <x:v>未着手</x:v>
      </x:c>
      <x:c r="W227" s="14" t="str">
        <x:v>成功条件確認</x:v>
      </x:c>
    </x:row>
    <x:row r="228" ht="58" customHeight="1">
      <x:c r="A228" s="14" t="n">
        <x:v>18</x:v>
      </x:c>
      <x:c r="B228" s="14" t="n">
        <x:v>11</x:v>
      </x:c>
      <x:c r="C228" s="14" t="str">
        <x:v>監査</x:v>
      </x:c>
      <x:c r="D228" s="14" t="str">
        <x:v>AWS CloudTrail / IAM Access Analyzer</x:v>
      </x:c>
      <x:c r="E228" s="14" t="str">
        <x:v>管理操作と外部公開を監査</x:v>
      </x:c>
      <x:c r="F228" s="14" t="str">
        <x:v>Step 1,17</x:v>
      </x:c>
      <x:c r="G228" s="14" t="str">
        <x:v>infra/environments/dev/60-operations</x:v>
      </x:c>
      <x:c r="H228" s="14" t="str">
        <x:v>audit.tf, variables.tf, outputs.tf</x:v>
      </x:c>
      <x:c r="I228" s="14" t="str">
        <x:v>aws_cloudtrail, aws_accessanalyzer_analyzer, audit用S3設定</x:v>
      </x:c>
      <x:c r="J228" s="14" t="str">
        <x:v>audit</x:v>
      </x:c>
      <x:c r="K228" s="14" t="str">
        <x:v>Trail bucket policy、multi-region、Analyzer zone</x:v>
      </x:c>
      <x:c r="L228" s="14" t="str">
        <x:v>management events、data events=false、log retention</x:v>
      </x:c>
      <x:c r="M228" s="14" t="str"/>
      <x:c r="N228" s="14" t="str"/>
      <x:c r="O228" s="14" t="str"/>
      <x:c r="P228" s="14" t="str"/>
      <x:c r="Q228" s="14" t="str">
        <x:v>Trail bucket policy、multi-region、Analyzer zone</x:v>
      </x:c>
      <x:c r="R228" s="14" t="str">
        <x:v>管理events中心</x:v>
      </x:c>
      <x:c r="S228" s="14" t="str">
        <x:v>audit bucket削除・書換権限を限定</x:v>
      </x:c>
      <x:c r="T228" s="14" t="str">
        <x:v>trail停止後Analyzer削除、ログ保持判断</x:v>
      </x:c>
      <x:c r="U228" s="14" t="str">
        <x:v>Step 19、完成判定</x:v>
      </x:c>
      <x:c r="V228" s="84" t="str">
        <x:v>未着手</x:v>
      </x:c>
      <x:c r="W228" s="14" t="str">
        <x:v>失敗時確認</x:v>
      </x:c>
    </x:row>
    <x:row r="229" ht="58" customHeight="1">
      <x:c r="A229" s="14" t="n">
        <x:v>18</x:v>
      </x:c>
      <x:c r="B229" s="14" t="n">
        <x:v>12</x:v>
      </x:c>
      <x:c r="C229" s="14" t="str">
        <x:v>監査</x:v>
      </x:c>
      <x:c r="D229" s="14" t="str">
        <x:v>AWS CloudTrail / IAM Access Analyzer</x:v>
      </x:c>
      <x:c r="E229" s="14" t="str">
        <x:v>管理操作と外部公開を監査</x:v>
      </x:c>
      <x:c r="F229" s="14" t="str">
        <x:v>Step 1,17</x:v>
      </x:c>
      <x:c r="G229" s="14" t="str">
        <x:v>infra/environments/dev/60-operations</x:v>
      </x:c>
      <x:c r="H229" s="14" t="str">
        <x:v>audit.tf, variables.tf, outputs.tf</x:v>
      </x:c>
      <x:c r="I229" s="14" t="str">
        <x:v>aws_cloudtrail, aws_accessanalyzer_analyzer, audit用S3設定</x:v>
      </x:c>
      <x:c r="J229" s="14" t="str">
        <x:v>audit</x:v>
      </x:c>
      <x:c r="K229" s="14" t="str">
        <x:v>削除: trail停止後Analyzer削除、ログ保持判断 / 次: Step 19、完成判定</x:v>
      </x:c>
      <x:c r="L229" s="14" t="str">
        <x:v>management events、data events=false、log retention</x:v>
      </x:c>
      <x:c r="M229" s="14" t="str"/>
      <x:c r="N229" s="14" t="str"/>
      <x:c r="O229" s="14" t="str"/>
      <x:c r="P229" s="14" t="str"/>
      <x:c r="Q229" s="14" t="str"/>
      <x:c r="R229" s="14" t="str">
        <x:v>管理events中心</x:v>
      </x:c>
      <x:c r="S229" s="14" t="str">
        <x:v>audit bucket削除・書換権限を限定</x:v>
      </x:c>
      <x:c r="T229" s="14" t="str">
        <x:v>trail停止後Analyzer削除、ログ保持判断</x:v>
      </x:c>
      <x:c r="U229" s="14" t="str">
        <x:v>Step 19、完成判定</x:v>
      </x:c>
      <x:c r="V229" s="84" t="str">
        <x:v>未着手</x:v>
      </x:c>
      <x:c r="W229" s="14" t="str">
        <x:v>依存・削除確認</x:v>
      </x:c>
    </x:row>
    <x:row r="230" ht="58" customHeight="1">
      <x:c r="A230" s="14" t="n">
        <x:v>19</x:v>
      </x:c>
      <x:c r="B230" s="14" t="n">
        <x:v>1</x:v>
      </x:c>
      <x:c r="C230" s="14" t="str">
        <x:v>学習・検証</x:v>
      </x:c>
      <x:c r="D230" s="14" t="str">
        <x:v>Amazon ECR / AWS Backup sandbox</x:v>
      </x:c>
      <x:c r="E230" s="14" t="str">
        <x:v>本体へ影響せず追加サービスを作成・削除</x:v>
      </x:c>
      <x:c r="F230" s="14" t="str">
        <x:v>Step 1</x:v>
      </x:c>
      <x:c r="G230" s="14" t="str">
        <x:v>infra/sandboxes/dev/ecr または backup</x:v>
      </x:c>
      <x:c r="H230" s="14" t="str">
        <x:v>versions.tf, backend.hcl, providers.tf, main.tf, variables.tf, outputs.tf</x:v>
      </x:c>
      <x:c r="I230" s="14" t="str">
        <x:v>aws_ecr_repository, aws_ecr_lifecycle_policy, aws_backup_vault, aws_backup_plan等</x:v>
      </x:c>
      <x:c r="J230" s="14" t="str">
        <x:v>なし</x:v>
      </x:c>
      <x:c r="K230" s="14" t="str">
        <x:v>対象ファイルを作成し、resourceとmoduleの責務を分ける。</x:v>
      </x:c>
      <x:c r="L230" s="14" t="str">
        <x:v>最小構成、ExpirationDateタグ</x:v>
      </x:c>
      <x:c r="M230" s="14" t="str"/>
      <x:c r="N230" s="14" t="str"/>
      <x:c r="O230" s="14" t="str"/>
      <x:c r="P230" s="14" t="str"/>
      <x:c r="Q230" s="14" t="str"/>
      <x:c r="R230" s="14" t="str">
        <x:v>検証保存量のみ</x:v>
      </x:c>
      <x:c r="S230" s="14" t="str">
        <x:v>sandbox Roleと本体resource selectionを分離</x:v>
      </x:c>
      <x:c r="T230" s="14" t="str">
        <x:v>残image/Recovery Point確認後destroy</x:v>
      </x:c>
      <x:c r="U230" s="14" t="str">
        <x:v>なし</x:v>
      </x:c>
      <x:c r="V230" s="84" t="str">
        <x:v>未着手</x:v>
      </x:c>
      <x:c r="W230" s="14" t="str">
        <x:v>対象ファイルの準備</x:v>
      </x:c>
    </x:row>
    <x:row r="231" ht="58" customHeight="1">
      <x:c r="A231" s="14" t="n">
        <x:v>19</x:v>
      </x:c>
      <x:c r="B231" s="14" t="n">
        <x:v>2</x:v>
      </x:c>
      <x:c r="C231" s="14" t="str">
        <x:v>学習・検証</x:v>
      </x:c>
      <x:c r="D231" s="14" t="str">
        <x:v>Amazon ECR / AWS Backup sandbox</x:v>
      </x:c>
      <x:c r="E231" s="14" t="str">
        <x:v>本体へ影響せず追加サービスを作成・削除</x:v>
      </x:c>
      <x:c r="F231" s="14" t="str">
        <x:v>Step 1</x:v>
      </x:c>
      <x:c r="G231" s="14" t="str">
        <x:v>infra/sandboxes/dev/ecr または backup</x:v>
      </x:c>
      <x:c r="H231" s="14" t="str">
        <x:v>versions.tf, backend.hcl, providers.tf, main.tf, variables.tf, outputs.tf</x:v>
      </x:c>
      <x:c r="I231" s="14" t="str">
        <x:v>aws_ecr_repository, aws_ecr_lifecycle_policy, aws_backup_vault, aws_backup_plan等</x:v>
      </x:c>
      <x:c r="J231" s="14" t="str">
        <x:v>なし</x:v>
      </x:c>
      <x:c r="K231" s="14" t="str">
        <x:v>非機密値だけをtfvarsまたは環境変数へ設定する。</x:v>
      </x:c>
      <x:c r="L231" s="14" t="str">
        <x:v>最小構成、ExpirationDateタグ</x:v>
      </x:c>
      <x:c r="M231" s="14" t="str"/>
      <x:c r="N231" s="14" t="str"/>
      <x:c r="O231" s="14" t="str"/>
      <x:c r="P231" s="14" t="str"/>
      <x:c r="Q231" s="14" t="str"/>
      <x:c r="R231" s="14" t="str">
        <x:v>検証保存量のみ</x:v>
      </x:c>
      <x:c r="S231" s="14" t="str">
        <x:v>sandbox Roleと本体resource selectionを分離</x:v>
      </x:c>
      <x:c r="T231" s="14" t="str">
        <x:v>残image/Recovery Point確認後destroy</x:v>
      </x:c>
      <x:c r="U231" s="14" t="str">
        <x:v>なし</x:v>
      </x:c>
      <x:c r="V231" s="84" t="str">
        <x:v>未着手</x:v>
      </x:c>
      <x:c r="W231" s="14" t="str">
        <x:v>設定値の準備</x:v>
      </x:c>
    </x:row>
    <x:row r="232" ht="58" customHeight="1">
      <x:c r="A232" s="14" t="n">
        <x:v>19</x:v>
      </x:c>
      <x:c r="B232" s="14" t="n">
        <x:v>3</x:v>
      </x:c>
      <x:c r="C232" s="14" t="str">
        <x:v>学習・検証</x:v>
      </x:c>
      <x:c r="D232" s="14" t="str">
        <x:v>Amazon ECR / AWS Backup sandbox</x:v>
      </x:c>
      <x:c r="E232" s="14" t="str">
        <x:v>本体へ影響せず追加サービスを作成・削除</x:v>
      </x:c>
      <x:c r="F232" s="14" t="str">
        <x:v>Step 1</x:v>
      </x:c>
      <x:c r="G232" s="14" t="str">
        <x:v>infra/sandboxes/dev/ecr または backup</x:v>
      </x:c>
      <x:c r="H232" s="14" t="str">
        <x:v>versions.tf, backend.hcl, providers.tf, main.tf, variables.tf, outputs.tf</x:v>
      </x:c>
      <x:c r="I232" s="14" t="str">
        <x:v>aws_ecr_repository, aws_ecr_lifecycle_policy, aws_backup_vault, aws_backup_plan等</x:v>
      </x:c>
      <x:c r="J232" s="14" t="str">
        <x:v>なし</x:v>
      </x:c>
      <x:c r="K232" s="14" t="str">
        <x:v>HCLファイルを自動整形する。</x:v>
      </x:c>
      <x:c r="L232" s="14" t="str">
        <x:v>最小構成、ExpirationDateタグ</x:v>
      </x:c>
      <x:c r="M232" s="14" t="str">
        <x:v>`terraform fmt -recursive`</x:v>
      </x:c>
      <x:c r="N232" s="14" t="str"/>
      <x:c r="O232" s="14" t="str"/>
      <x:c r="P232" s="14" t="str"/>
      <x:c r="Q232" s="14" t="str"/>
      <x:c r="R232" s="14" t="str">
        <x:v>検証保存量のみ</x:v>
      </x:c>
      <x:c r="S232" s="14" t="str">
        <x:v>sandbox Roleと本体resource selectionを分離</x:v>
      </x:c>
      <x:c r="T232" s="14" t="str">
        <x:v>残image/Recovery Point確認後destroy</x:v>
      </x:c>
      <x:c r="U232" s="14" t="str">
        <x:v>なし</x:v>
      </x:c>
      <x:c r="V232" s="84" t="str">
        <x:v>未着手</x:v>
      </x:c>
      <x:c r="W232" s="14" t="str">
        <x:v>terraform fmt</x:v>
      </x:c>
    </x:row>
    <x:row r="233" ht="58" customHeight="1">
      <x:c r="A233" s="14" t="n">
        <x:v>19</x:v>
      </x:c>
      <x:c r="B233" s="14" t="n">
        <x:v>4</x:v>
      </x:c>
      <x:c r="C233" s="14" t="str">
        <x:v>学習・検証</x:v>
      </x:c>
      <x:c r="D233" s="14" t="str">
        <x:v>Amazon ECR / AWS Backup sandbox</x:v>
      </x:c>
      <x:c r="E233" s="14" t="str">
        <x:v>本体へ影響せず追加サービスを作成・削除</x:v>
      </x:c>
      <x:c r="F233" s="14" t="str">
        <x:v>Step 1</x:v>
      </x:c>
      <x:c r="G233" s="14" t="str">
        <x:v>infra/sandboxes/dev/ecr または backup</x:v>
      </x:c>
      <x:c r="H233" s="14" t="str">
        <x:v>versions.tf, backend.hcl, providers.tf, main.tf, variables.tf, outputs.tf</x:v>
      </x:c>
      <x:c r="I233" s="14" t="str">
        <x:v>aws_ecr_repository, aws_ecr_lifecycle_policy, aws_backup_vault, aws_backup_plan等</x:v>
      </x:c>
      <x:c r="J233" s="14" t="str">
        <x:v>なし</x:v>
      </x:c>
      <x:c r="K233" s="14" t="str">
        <x:v>backend、Provider、moduleを初期化する。</x:v>
      </x:c>
      <x:c r="L233" s="14" t="str">
        <x:v>最小構成、ExpirationDateタグ</x:v>
      </x:c>
      <x:c r="M233" s="14" t="str">
        <x:v>各sandboxは別rootのためinit必要。</x:v>
      </x:c>
      <x:c r="N233" s="14" t="str"/>
      <x:c r="O233" s="14" t="str"/>
      <x:c r="P233" s="14" t="str"/>
      <x:c r="Q233" s="14" t="str"/>
      <x:c r="R233" s="14" t="str">
        <x:v>検証保存量のみ</x:v>
      </x:c>
      <x:c r="S233" s="14" t="str">
        <x:v>sandbox Roleと本体resource selectionを分離</x:v>
      </x:c>
      <x:c r="T233" s="14" t="str">
        <x:v>残image/Recovery Point確認後destroy</x:v>
      </x:c>
      <x:c r="U233" s="14" t="str">
        <x:v>なし</x:v>
      </x:c>
      <x:c r="V233" s="84" t="str">
        <x:v>未着手</x:v>
      </x:c>
      <x:c r="W233" s="14" t="str">
        <x:v>terraform init</x:v>
      </x:c>
    </x:row>
    <x:row r="234" ht="58" customHeight="1">
      <x:c r="A234" s="14" t="n">
        <x:v>19</x:v>
      </x:c>
      <x:c r="B234" s="14" t="n">
        <x:v>5</x:v>
      </x:c>
      <x:c r="C234" s="14" t="str">
        <x:v>学習・検証</x:v>
      </x:c>
      <x:c r="D234" s="14" t="str">
        <x:v>Amazon ECR / AWS Backup sandbox</x:v>
      </x:c>
      <x:c r="E234" s="14" t="str">
        <x:v>本体へ影響せず追加サービスを作成・削除</x:v>
      </x:c>
      <x:c r="F234" s="14" t="str">
        <x:v>Step 1</x:v>
      </x:c>
      <x:c r="G234" s="14" t="str">
        <x:v>infra/sandboxes/dev/ecr または backup</x:v>
      </x:c>
      <x:c r="H234" s="14" t="str">
        <x:v>versions.tf, backend.hcl, providers.tf, main.tf, variables.tf, outputs.tf</x:v>
      </x:c>
      <x:c r="I234" s="14" t="str">
        <x:v>aws_ecr_repository, aws_ecr_lifecycle_policy, aws_backup_vault, aws_backup_plan等</x:v>
      </x:c>
      <x:c r="J234" s="14" t="str">
        <x:v>なし</x:v>
      </x:c>
      <x:c r="K234" s="14" t="str">
        <x:v>`terraform validate`</x:v>
      </x:c>
      <x:c r="L234" s="14" t="str">
        <x:v>最小構成、ExpirationDateタグ</x:v>
      </x:c>
      <x:c r="M234" s="14" t="str">
        <x:v>`terraform validate`</x:v>
      </x:c>
      <x:c r="N234" s="14" t="str"/>
      <x:c r="O234" s="14" t="str"/>
      <x:c r="P234" s="14" t="str"/>
      <x:c r="Q234" s="14" t="str"/>
      <x:c r="R234" s="14" t="str">
        <x:v>検証保存量のみ</x:v>
      </x:c>
      <x:c r="S234" s="14" t="str">
        <x:v>sandbox Roleと本体resource selectionを分離</x:v>
      </x:c>
      <x:c r="T234" s="14" t="str">
        <x:v>残image/Recovery Point確認後destroy</x:v>
      </x:c>
      <x:c r="U234" s="14" t="str">
        <x:v>なし</x:v>
      </x:c>
      <x:c r="V234" s="84" t="str">
        <x:v>未着手</x:v>
      </x:c>
      <x:c r="W234" s="14" t="str">
        <x:v>terraform validate</x:v>
      </x:c>
    </x:row>
    <x:row r="235" ht="58" customHeight="1">
      <x:c r="A235" s="14" t="n">
        <x:v>19</x:v>
      </x:c>
      <x:c r="B235" s="14" t="n">
        <x:v>6</x:v>
      </x:c>
      <x:c r="C235" s="14" t="str">
        <x:v>学習・検証</x:v>
      </x:c>
      <x:c r="D235" s="14" t="str">
        <x:v>Amazon ECR / AWS Backup sandbox</x:v>
      </x:c>
      <x:c r="E235" s="14" t="str">
        <x:v>本体へ影響せず追加サービスを作成・削除</x:v>
      </x:c>
      <x:c r="F235" s="14" t="str">
        <x:v>Step 1</x:v>
      </x:c>
      <x:c r="G235" s="14" t="str">
        <x:v>infra/sandboxes/dev/ecr または backup</x:v>
      </x:c>
      <x:c r="H235" s="14" t="str">
        <x:v>versions.tf, backend.hcl, providers.tf, main.tf, variables.tf, outputs.tf</x:v>
      </x:c>
      <x:c r="I235" s="14" t="str">
        <x:v>aws_ecr_repository, aws_ecr_lifecycle_policy, aws_backup_vault, aws_backup_plan等</x:v>
      </x:c>
      <x:c r="J235" s="14" t="str">
        <x:v>なし</x:v>
      </x:c>
      <x:c r="K235" s="14" t="str">
        <x:v>`terraform plan -out=tfplan`</x:v>
      </x:c>
      <x:c r="L235" s="14" t="str">
        <x:v>最小構成、ExpirationDateタグ</x:v>
      </x:c>
      <x:c r="M235" s="14" t="str">
        <x:v>`terraform plan -out=tfplan`</x:v>
      </x:c>
      <x:c r="N235" s="14" t="str"/>
      <x:c r="O235" s="14" t="str"/>
      <x:c r="P235" s="14" t="str"/>
      <x:c r="Q235" s="14" t="str"/>
      <x:c r="R235" s="14" t="str">
        <x:v>検証保存量のみ</x:v>
      </x:c>
      <x:c r="S235" s="14" t="str">
        <x:v>sandbox Roleと本体resource selectionを分離</x:v>
      </x:c>
      <x:c r="T235" s="14" t="str">
        <x:v>残image/Recovery Point確認後destroy</x:v>
      </x:c>
      <x:c r="U235" s="14" t="str">
        <x:v>なし</x:v>
      </x:c>
      <x:c r="V235" s="84" t="str">
        <x:v>未着手</x:v>
      </x:c>
      <x:c r="W235" s="14" t="str">
        <x:v>terraform plan</x:v>
      </x:c>
    </x:row>
    <x:row r="236" ht="58" customHeight="1">
      <x:c r="A236" s="14" t="n">
        <x:v>19</x:v>
      </x:c>
      <x:c r="B236" s="14" t="n">
        <x:v>7</x:v>
      </x:c>
      <x:c r="C236" s="14" t="str">
        <x:v>学習・検証</x:v>
      </x:c>
      <x:c r="D236" s="14" t="str">
        <x:v>Amazon ECR / AWS Backup sandbox</x:v>
      </x:c>
      <x:c r="E236" s="14" t="str">
        <x:v>本体へ影響せず追加サービスを作成・削除</x:v>
      </x:c>
      <x:c r="F236" s="14" t="str">
        <x:v>Step 1</x:v>
      </x:c>
      <x:c r="G236" s="14" t="str">
        <x:v>infra/sandboxes/dev/ecr または backup</x:v>
      </x:c>
      <x:c r="H236" s="14" t="str">
        <x:v>versions.tf, backend.hcl, providers.tf, main.tf, variables.tf, outputs.tf</x:v>
      </x:c>
      <x:c r="I236" s="14" t="str">
        <x:v>aws_ecr_repository, aws_ecr_lifecycle_policy, aws_backup_vault, aws_backup_plan等</x:v>
      </x:c>
      <x:c r="J236" s="14" t="str">
        <x:v>なし</x:v>
      </x:c>
      <x:c r="K236" s="14" t="str">
        <x:v>`terraform apply tfplan`</x:v>
      </x:c>
      <x:c r="L236" s="14" t="str">
        <x:v>最小構成、ExpirationDateタグ</x:v>
      </x:c>
      <x:c r="M236" s="14" t="str">
        <x:v>`terraform apply tfplan`</x:v>
      </x:c>
      <x:c r="N236" s="14" t="str"/>
      <x:c r="O236" s="14" t="str"/>
      <x:c r="P236" s="14" t="str"/>
      <x:c r="Q236" s="14" t="str"/>
      <x:c r="R236" s="14" t="str">
        <x:v>検証保存量のみ</x:v>
      </x:c>
      <x:c r="S236" s="14" t="str">
        <x:v>sandbox Roleと本体resource selectionを分離</x:v>
      </x:c>
      <x:c r="T236" s="14" t="str">
        <x:v>残image/Recovery Point確認後destroy</x:v>
      </x:c>
      <x:c r="U236" s="14" t="str">
        <x:v>なし</x:v>
      </x:c>
      <x:c r="V236" s="84" t="str">
        <x:v>未着手</x:v>
      </x:c>
      <x:c r="W236" s="14" t="str">
        <x:v>terraform apply</x:v>
      </x:c>
    </x:row>
    <x:row r="237" ht="58" customHeight="1">
      <x:c r="A237" s="14" t="n">
        <x:v>19</x:v>
      </x:c>
      <x:c r="B237" s="14" t="n">
        <x:v>8</x:v>
      </x:c>
      <x:c r="C237" s="14" t="str">
        <x:v>学習・検証</x:v>
      </x:c>
      <x:c r="D237" s="14" t="str">
        <x:v>Amazon ECR / AWS Backup sandbox</x:v>
      </x:c>
      <x:c r="E237" s="14" t="str">
        <x:v>本体へ影響せず追加サービスを作成・削除</x:v>
      </x:c>
      <x:c r="F237" s="14" t="str">
        <x:v>Step 1</x:v>
      </x:c>
      <x:c r="G237" s="14" t="str">
        <x:v>infra/sandboxes/dev/ecr または backup</x:v>
      </x:c>
      <x:c r="H237" s="14" t="str">
        <x:v>versions.tf, backend.hcl, providers.tf, main.tf, variables.tf, outputs.tf</x:v>
      </x:c>
      <x:c r="I237" s="14" t="str">
        <x:v>aws_ecr_repository, aws_ecr_lifecycle_policy, aws_backup_vault, aws_backup_plan等</x:v>
      </x:c>
      <x:c r="J237" s="14" t="str">
        <x:v>なし</x:v>
      </x:c>
      <x:c r="K237" s="14" t="str">
        <x:v>対象サービスConsoleでresourceを確認</x:v>
      </x:c>
      <x:c r="L237" s="14" t="str">
        <x:v>最小構成、ExpirationDateタグ</x:v>
      </x:c>
      <x:c r="M237" s="14" t="str"/>
      <x:c r="N237" s="14" t="str">
        <x:v>対象サービスConsoleでresourceを確認</x:v>
      </x:c>
      <x:c r="O237" s="14" t="str"/>
      <x:c r="P237" s="14" t="str"/>
      <x:c r="Q237" s="14" t="str"/>
      <x:c r="R237" s="14" t="str">
        <x:v>検証保存量のみ</x:v>
      </x:c>
      <x:c r="S237" s="14" t="str">
        <x:v>sandbox Roleと本体resource selectionを分離</x:v>
      </x:c>
      <x:c r="T237" s="14" t="str">
        <x:v>残image/Recovery Point確認後destroy</x:v>
      </x:c>
      <x:c r="U237" s="14" t="str">
        <x:v>なし</x:v>
      </x:c>
      <x:c r="V237" s="84" t="str">
        <x:v>未着手</x:v>
      </x:c>
      <x:c r="W237" s="14" t="str">
        <x:v>AWSリソース確認</x:v>
      </x:c>
    </x:row>
    <x:row r="238" ht="58" customHeight="1">
      <x:c r="A238" s="14" t="n">
        <x:v>19</x:v>
      </x:c>
      <x:c r="B238" s="14" t="n">
        <x:v>9</x:v>
      </x:c>
      <x:c r="C238" s="14" t="str">
        <x:v>学習・検証</x:v>
      </x:c>
      <x:c r="D238" s="14" t="str">
        <x:v>Amazon ECR / AWS Backup sandbox</x:v>
      </x:c>
      <x:c r="E238" s="14" t="str">
        <x:v>本体へ影響せず追加サービスを作成・削除</x:v>
      </x:c>
      <x:c r="F238" s="14" t="str">
        <x:v>Step 1</x:v>
      </x:c>
      <x:c r="G238" s="14" t="str">
        <x:v>infra/sandboxes/dev/ecr または backup</x:v>
      </x:c>
      <x:c r="H238" s="14" t="str">
        <x:v>versions.tf, backend.hcl, providers.tf, main.tf, variables.tf, outputs.tf</x:v>
      </x:c>
      <x:c r="I238" s="14" t="str">
        <x:v>aws_ecr_repository, aws_ecr_lifecycle_policy, aws_backup_vault, aws_backup_plan等</x:v>
      </x:c>
      <x:c r="J238" s="14" t="str">
        <x:v>なし</x:v>
      </x:c>
      <x:c r="K238" s="14" t="str">
        <x:v>ECR push/pull、Backup test/restoreを限定確認</x:v>
      </x:c>
      <x:c r="L238" s="14" t="str">
        <x:v>最小構成、ExpirationDateタグ</x:v>
      </x:c>
      <x:c r="M238" s="14" t="str"/>
      <x:c r="N238" s="14" t="str"/>
      <x:c r="O238" s="14" t="str">
        <x:v>ECR push/pull、Backup test/restoreを限定確認</x:v>
      </x:c>
      <x:c r="P238" s="14" t="str"/>
      <x:c r="Q238" s="14" t="str"/>
      <x:c r="R238" s="14" t="str">
        <x:v>検証保存量のみ</x:v>
      </x:c>
      <x:c r="S238" s="14" t="str">
        <x:v>sandbox Roleと本体resource selectionを分離</x:v>
      </x:c>
      <x:c r="T238" s="14" t="str">
        <x:v>残image/Recovery Point確認後destroy</x:v>
      </x:c>
      <x:c r="U238" s="14" t="str">
        <x:v>なし</x:v>
      </x:c>
      <x:c r="V238" s="84" t="str">
        <x:v>未着手</x:v>
      </x:c>
      <x:c r="W238" s="14" t="str">
        <x:v>疎通・動作確認</x:v>
      </x:c>
    </x:row>
    <x:row r="239" ht="58" customHeight="1">
      <x:c r="A239" s="14" t="n">
        <x:v>19</x:v>
      </x:c>
      <x:c r="B239" s="14" t="n">
        <x:v>10</x:v>
      </x:c>
      <x:c r="C239" s="14" t="str">
        <x:v>学習・検証</x:v>
      </x:c>
      <x:c r="D239" s="14" t="str">
        <x:v>Amazon ECR / AWS Backup sandbox</x:v>
      </x:c>
      <x:c r="E239" s="14" t="str">
        <x:v>本体へ影響せず追加サービスを作成・削除</x:v>
      </x:c>
      <x:c r="F239" s="14" t="str">
        <x:v>Step 1</x:v>
      </x:c>
      <x:c r="G239" s="14" t="str">
        <x:v>infra/sandboxes/dev/ecr または backup</x:v>
      </x:c>
      <x:c r="H239" s="14" t="str">
        <x:v>versions.tf, backend.hcl, providers.tf, main.tf, variables.tf, outputs.tf</x:v>
      </x:c>
      <x:c r="I239" s="14" t="str">
        <x:v>aws_ecr_repository, aws_ecr_lifecycle_policy, aws_backup_vault, aws_backup_plan等</x:v>
      </x:c>
      <x:c r="J239" s="14" t="str">
        <x:v>なし</x:v>
      </x:c>
      <x:c r="K239" s="14" t="str">
        <x:v>動作確認後destroyで本体に影響なし</x:v>
      </x:c>
      <x:c r="L239" s="14" t="str">
        <x:v>最小構成、ExpirationDateタグ</x:v>
      </x:c>
      <x:c r="M239" s="14" t="str"/>
      <x:c r="N239" s="14" t="str"/>
      <x:c r="O239" s="14" t="str"/>
      <x:c r="P239" s="14" t="str">
        <x:v>動作確認後destroyで本体に影響なし</x:v>
      </x:c>
      <x:c r="Q239" s="14" t="str"/>
      <x:c r="R239" s="14" t="str">
        <x:v>検証保存量のみ</x:v>
      </x:c>
      <x:c r="S239" s="14" t="str">
        <x:v>sandbox Roleと本体resource selectionを分離</x:v>
      </x:c>
      <x:c r="T239" s="14" t="str">
        <x:v>残image/Recovery Point確認後destroy</x:v>
      </x:c>
      <x:c r="U239" s="14" t="str">
        <x:v>なし</x:v>
      </x:c>
      <x:c r="V239" s="84" t="str">
        <x:v>未着手</x:v>
      </x:c>
      <x:c r="W239" s="14" t="str">
        <x:v>成功条件確認</x:v>
      </x:c>
    </x:row>
    <x:row r="240" ht="58" customHeight="1">
      <x:c r="A240" s="14" t="n">
        <x:v>19</x:v>
      </x:c>
      <x:c r="B240" s="14" t="n">
        <x:v>11</x:v>
      </x:c>
      <x:c r="C240" s="14" t="str">
        <x:v>学習・検証</x:v>
      </x:c>
      <x:c r="D240" s="14" t="str">
        <x:v>Amazon ECR / AWS Backup sandbox</x:v>
      </x:c>
      <x:c r="E240" s="14" t="str">
        <x:v>本体へ影響せず追加サービスを作成・削除</x:v>
      </x:c>
      <x:c r="F240" s="14" t="str">
        <x:v>Step 1</x:v>
      </x:c>
      <x:c r="G240" s="14" t="str">
        <x:v>infra/sandboxes/dev/ecr または backup</x:v>
      </x:c>
      <x:c r="H240" s="14" t="str">
        <x:v>versions.tf, backend.hcl, providers.tf, main.tf, variables.tf, outputs.tf</x:v>
      </x:c>
      <x:c r="I240" s="14" t="str">
        <x:v>aws_ecr_repository, aws_ecr_lifecycle_policy, aws_backup_vault, aws_backup_plan等</x:v>
      </x:c>
      <x:c r="J240" s="14" t="str">
        <x:v>なし</x:v>
      </x:c>
      <x:c r="K240" s="14" t="str">
        <x:v>別state key、残image、Recovery Point、Role</x:v>
      </x:c>
      <x:c r="L240" s="14" t="str">
        <x:v>最小構成、ExpirationDateタグ</x:v>
      </x:c>
      <x:c r="M240" s="14" t="str"/>
      <x:c r="N240" s="14" t="str"/>
      <x:c r="O240" s="14" t="str"/>
      <x:c r="P240" s="14" t="str"/>
      <x:c r="Q240" s="14" t="str">
        <x:v>別state key、残image、Recovery Point、Role</x:v>
      </x:c>
      <x:c r="R240" s="14" t="str">
        <x:v>検証保存量のみ</x:v>
      </x:c>
      <x:c r="S240" s="14" t="str">
        <x:v>sandbox Roleと本体resource selectionを分離</x:v>
      </x:c>
      <x:c r="T240" s="14" t="str">
        <x:v>残image/Recovery Point確認後destroy</x:v>
      </x:c>
      <x:c r="U240" s="14" t="str">
        <x:v>なし</x:v>
      </x:c>
      <x:c r="V240" s="84" t="str">
        <x:v>未着手</x:v>
      </x:c>
      <x:c r="W240" s="14" t="str">
        <x:v>失敗時確認</x:v>
      </x:c>
    </x:row>
    <x:row r="241" ht="58" customHeight="1">
      <x:c r="A241" s="14" t="n">
        <x:v>19</x:v>
      </x:c>
      <x:c r="B241" s="14" t="n">
        <x:v>12</x:v>
      </x:c>
      <x:c r="C241" s="14" t="str">
        <x:v>学習・検証</x:v>
      </x:c>
      <x:c r="D241" s="14" t="str">
        <x:v>Amazon ECR / AWS Backup sandbox</x:v>
      </x:c>
      <x:c r="E241" s="14" t="str">
        <x:v>本体へ影響せず追加サービスを作成・削除</x:v>
      </x:c>
      <x:c r="F241" s="14" t="str">
        <x:v>Step 1</x:v>
      </x:c>
      <x:c r="G241" s="14" t="str">
        <x:v>infra/sandboxes/dev/ecr または backup</x:v>
      </x:c>
      <x:c r="H241" s="14" t="str">
        <x:v>versions.tf, backend.hcl, providers.tf, main.tf, variables.tf, outputs.tf</x:v>
      </x:c>
      <x:c r="I241" s="14" t="str">
        <x:v>aws_ecr_repository, aws_ecr_lifecycle_policy, aws_backup_vault, aws_backup_plan等</x:v>
      </x:c>
      <x:c r="J241" s="14" t="str">
        <x:v>なし</x:v>
      </x:c>
      <x:c r="K241" s="14" t="str">
        <x:v>削除: 残image/Recovery Point確認後destroy / 次: なし</x:v>
      </x:c>
      <x:c r="L241" s="14" t="str">
        <x:v>最小構成、ExpirationDateタグ</x:v>
      </x:c>
      <x:c r="M241" s="14" t="str"/>
      <x:c r="N241" s="14" t="str"/>
      <x:c r="O241" s="14" t="str"/>
      <x:c r="P241" s="14" t="str"/>
      <x:c r="Q241" s="14" t="str"/>
      <x:c r="R241" s="14" t="str">
        <x:v>検証保存量のみ</x:v>
      </x:c>
      <x:c r="S241" s="14" t="str">
        <x:v>sandbox Roleと本体resource selectionを分離</x:v>
      </x:c>
      <x:c r="T241" s="14" t="str">
        <x:v>残image/Recovery Point確認後destroy</x:v>
      </x:c>
      <x:c r="U241" s="14" t="str">
        <x:v>なし</x:v>
      </x:c>
      <x:c r="V241" s="84" t="str">
        <x:v>未着手</x:v>
      </x:c>
      <x:c r="W241" s="14" t="str">
        <x:v>依存・削除確認</x:v>
      </x:c>
    </x:row>
  </x:sheetData>
  <x:conditionalFormatting sqref="V2:V241">
    <x:cfRule type="expression" dxfId="4" priority="1">
      <x:formula>V2="要確認"</x:formula>
    </x:cfRule>
    <x:cfRule type="expression" dxfId="5" priority="2">
      <x:formula>V2="未着手"</x:formula>
    </x:cfRule>
    <x:cfRule type="expression" dxfId="6" priority="3">
      <x:formula>V2="実施中"</x:formula>
    </x:cfRule>
    <x:cfRule type="expression" dxfId="7" priority="4">
      <x:formula>V2="完了"</x:formula>
    </x:cfRule>
    <x:cfRule type="expression" dxfId="8" priority="5">
      <x:formula>V2="保留"</x:formula>
    </x:cfRule>
  </x:conditionalFormatting>
  <x:dataValidations count="1">
    <x:dataValidation type="list" sqref="V2:V241">
      <x:formula1>"未着手,実施中,完了,保留,要確認"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c51f3c229549a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8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6" hidden="0" customWidth="1"/>
    <x:col min="10" max="10" width="16" hidden="0" customWidth="1"/>
    <x:col min="11" max="11" width="16" hidden="0" customWidth="1"/>
    <x:col min="12" max="12" width="34" hidden="0" customWidth="1"/>
    <x:col min="13" max="13" width="20" hidden="0" customWidth="1"/>
    <x:col min="14" max="14" width="28" hidden="0" customWidth="1"/>
    <x:col min="15" max="15" width="34" hidden="0" customWidth="1"/>
    <x:col min="16" max="16" width="28" hidden="0" customWidth="1"/>
    <x:col min="17" max="17" width="12" hidden="0" customWidth="1"/>
    <x:col min="18" max="18" width="36" hidden="0" customWidth="1"/>
    <x:col min="20" max="20" width="25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 ht="28" customHeight="1">
      <x:c r="A1" s="6" t="str">
        <x:v>No.</x:v>
      </x:c>
      <x:c r="B1" s="6" t="str">
        <x:v>サービス</x:v>
      </x:c>
      <x:c r="C1" s="6" t="str">
        <x:v>課金項目</x:v>
      </x:c>
      <x:c r="D1" s="6" t="str">
        <x:v>課金単位</x:v>
      </x:c>
      <x:c r="E1" s="6" t="str">
        <x:v>最小利用量</x:v>
      </x:c>
      <x:c r="F1" s="6" t="str">
        <x:v>標準利用量</x:v>
      </x:c>
      <x:c r="G1" s="6" t="str">
        <x:v>増加時利用量</x:v>
      </x:c>
      <x:c r="H1" s="6" t="str">
        <x:v>計算式</x:v>
      </x:c>
      <x:c r="I1" s="6" t="str">
        <x:v>最小月額</x:v>
      </x:c>
      <x:c r="J1" s="6" t="str">
        <x:v>標準月額</x:v>
      </x:c>
      <x:c r="K1" s="6" t="str">
        <x:v>増加時月額</x:v>
      </x:c>
      <x:c r="L1" s="6" t="str">
        <x:v>無料利用枠</x:v>
      </x:c>
      <x:c r="M1" s="6" t="str">
        <x:v>100時間制御の可否</x:v>
      </x:c>
      <x:c r="N1" s="6" t="str">
        <x:v>停止後も残る課金</x:v>
      </x:c>
      <x:c r="O1" s="6" t="str">
        <x:v>コスト削減策</x:v>
      </x:c>
      <x:c r="P1" s="6" t="str">
        <x:v>超過リスク</x:v>
      </x:c>
      <x:c r="Q1" s="6" t="str">
        <x:v>出典No.</x:v>
      </x:c>
      <x:c r="R1" s="6" t="str">
        <x:v>備考</x:v>
      </x:c>
      <x:c r="T1" s="6" t="str">
        <x:v>計算入力</x:v>
      </x:c>
      <x:c r="U1" s="6" t="str">
        <x:v>最小USD</x:v>
      </x:c>
      <x:c r="V1" s="6" t="str">
        <x:v>標準USD</x:v>
      </x:c>
      <x:c r="W1" s="6" t="str">
        <x:v>増加時USD</x:v>
      </x:c>
    </x:row>
    <x:row r="2" ht="28" customHeight="1">
      <x:c r="A2" s="14" t="n">
        <x:v>1</x:v>
      </x:c>
      <x:c r="B2" s="14" t="str">
        <x:v>Amazon RDS for PostgreSQL</x:v>
      </x:c>
      <x:c r="C2" s="14" t="str">
        <x:v>コンピューティング</x:v>
      </x:c>
      <x:c r="D2" s="14" t="str">
        <x:v>時間</x:v>
      </x:c>
      <x:c r="E2" s="14" t="str">
        <x:v>40時間</x:v>
      </x:c>
      <x:c r="F2" s="14" t="str">
        <x:v>100時間</x:v>
      </x:c>
      <x:c r="G2" s="14" t="str">
        <x:v>730時間</x:v>
      </x:c>
      <x:c r="H2" s="14" t="str">
        <x:v>時間 × 0.030USD × 為替</x:v>
      </x:c>
      <x:c r="I2" s="90" t="n">
        <x:f>ROUND($U$5*$U$2,0)</x:f>
        <x:v>192</x:v>
      </x:c>
      <x:c r="J2" s="90" t="n">
        <x:f>ROUND($V$5*$V$2,0)</x:f>
        <x:v>480</x:v>
      </x:c>
      <x:c r="K2" s="90" t="n">
        <x:f>ROUND($W$5*$W$2,0)</x:f>
        <x:v>3504</x:v>
      </x:c>
      <x:c r="L2" s="14" t="str">
        <x:v>主計算では除外</x:v>
      </x:c>
      <x:c r="M2" s="14" t="str">
        <x:v>可能</x:v>
      </x:c>
      <x:c r="N2" s="14" t="str">
        <x:v>ストレージ、backup</x:v>
      </x:c>
      <x:c r="O2" s="14" t="str">
        <x:v>EventBridge Schedulerで停止</x:v>
      </x:c>
      <x:c r="P2" s="14" t="str">
        <x:v>高：停止忘れ</x:v>
      </x:c>
      <x:c r="Q2" s="14" t="n">
        <x:v>12</x:v>
      </x:c>
      <x:c r="R2" s="14" t="str">
        <x:v>計画用単価。実装直前に再計算。</x:v>
      </x:c>
      <x:c r="T2" s="14" t="str">
        <x:v>為替レート（円/USD）</x:v>
      </x:c>
      <x:c r="U2" s="90" t="n">
        <x:v>160</x:v>
      </x:c>
      <x:c r="V2" s="90" t="n">
        <x:v>160</x:v>
      </x:c>
      <x:c r="W2" s="90" t="n">
        <x:v>160</x:v>
      </x:c>
    </x:row>
    <x:row r="3" ht="28" customHeight="1">
      <x:c r="A3" s="14" t="n">
        <x:v>2</x:v>
      </x:c>
      <x:c r="B3" s="14" t="str">
        <x:v>Amazon RDS for PostgreSQL</x:v>
      </x:c>
      <x:c r="C3" s="14" t="str">
        <x:v>gp3ストレージ</x:v>
      </x:c>
      <x:c r="D3" s="14" t="str">
        <x:v>GB月</x:v>
      </x:c>
      <x:c r="E3" s="14" t="str">
        <x:v>20GB</x:v>
      </x:c>
      <x:c r="F3" s="14" t="str">
        <x:v>20GB</x:v>
      </x:c>
      <x:c r="G3" s="14" t="str">
        <x:v>20GB</x:v>
      </x:c>
      <x:c r="H3" s="14" t="str">
        <x:v>20GB × 0.138USD × 為替</x:v>
      </x:c>
      <x:c r="I3" s="90" t="n">
        <x:f>ROUND($U$6*$U$2,0)</x:f>
        <x:v>442</x:v>
      </x:c>
      <x:c r="J3" s="90" t="n">
        <x:f>ROUND($V$6*$V$2,0)</x:f>
        <x:v>442</x:v>
      </x:c>
      <x:c r="K3" s="90" t="n">
        <x:f>ROUND($W$6*$W$2,0)</x:f>
        <x:v>442</x:v>
      </x:c>
      <x:c r="L3" s="14" t="str">
        <x:v>主計算では除外</x:v>
      </x:c>
      <x:c r="M3" s="14" t="str">
        <x:v>不可</x:v>
      </x:c>
      <x:c r="N3" s="14" t="str">
        <x:v>全額</x:v>
      </x:c>
      <x:c r="O3" s="14" t="str">
        <x:v>20GBから開始</x:v>
      </x:c>
      <x:c r="P3" s="14" t="str">
        <x:v>中：snapshot増加</x:v>
      </x:c>
      <x:c r="Q3" s="14" t="n">
        <x:v>12</x:v>
      </x:c>
      <x:c r="R3" s="14" t="str">
        <x:v>停止しても継続課金。</x:v>
      </x:c>
      <x:c r="T3" s="14" t="str">
        <x:v>予算下限（円）</x:v>
      </x:c>
      <x:c r="U3" s="90" t="n">
        <x:v>5000</x:v>
      </x:c>
      <x:c r="V3" s="90" t="n">
        <x:v>5000</x:v>
      </x:c>
      <x:c r="W3" s="90" t="n">
        <x:v>5000</x:v>
      </x:c>
    </x:row>
    <x:row r="4" ht="28" customHeight="1">
      <x:c r="A4" s="14" t="n">
        <x:v>3</x:v>
      </x:c>
      <x:c r="B4" s="14" t="str">
        <x:v>AWS Secrets Manager</x:v>
      </x:c>
      <x:c r="C4" s="14" t="str">
        <x:v>RDSシークレット</x:v>
      </x:c>
      <x:c r="D4" s="14" t="str">
        <x:v>secret月</x:v>
      </x:c>
      <x:c r="E4" s="14" t="str">
        <x:v>1件</x:v>
      </x:c>
      <x:c r="F4" s="14" t="str">
        <x:v>1件</x:v>
      </x:c>
      <x:c r="G4" s="14" t="str">
        <x:v>1件</x:v>
      </x:c>
      <x:c r="H4" s="14" t="str">
        <x:v>1 × 0.40USD × 為替</x:v>
      </x:c>
      <x:c r="I4" s="90" t="n">
        <x:f>ROUND($U$7*$U$2,0)</x:f>
        <x:v>64</x:v>
      </x:c>
      <x:c r="J4" s="90" t="n">
        <x:f>ROUND($V$7*$V$2,0)</x:f>
        <x:v>64</x:v>
      </x:c>
      <x:c r="K4" s="90" t="n">
        <x:f>ROUND($W$7*$W$2,0)</x:f>
        <x:v>64</x:v>
      </x:c>
      <x:c r="L4" s="14" t="str">
        <x:v>原則なし</x:v>
      </x:c>
      <x:c r="M4" s="14" t="str">
        <x:v>不可</x:v>
      </x:c>
      <x:c r="N4" s="14" t="str">
        <x:v>全額</x:v>
      </x:c>
      <x:c r="O4" s="14" t="str">
        <x:v>RDS用1件に限定</x:v>
      </x:c>
      <x:c r="P4" s="14" t="str">
        <x:v>低～中：secret乱立</x:v>
      </x:c>
      <x:c r="Q4" s="14" t="n">
        <x:v>22</x:v>
      </x:c>
      <x:c r="R4" s="14" t="str">
        <x:v>通常アプリはIAM DB認証。</x:v>
      </x:c>
      <x:c r="T4" s="14" t="str">
        <x:v>予算上限（円）</x:v>
      </x:c>
      <x:c r="U4" s="90" t="n">
        <x:v>8000</x:v>
      </x:c>
      <x:c r="V4" s="90" t="n">
        <x:v>8000</x:v>
      </x:c>
      <x:c r="W4" s="90" t="n">
        <x:v>8000</x:v>
      </x:c>
    </x:row>
    <x:row r="5" ht="28" customHeight="1">
      <x:c r="A5" s="14" t="n">
        <x:v>4</x:v>
      </x:c>
      <x:c r="B5" s="14" t="str">
        <x:v>Amazon S3</x:v>
      </x:c>
      <x:c r="C5" s="14" t="str">
        <x:v>Standardストレージ</x:v>
      </x:c>
      <x:c r="D5" s="14" t="str">
        <x:v>GB月</x:v>
      </x:c>
      <x:c r="E5" s="14" t="str">
        <x:v>10GB</x:v>
      </x:c>
      <x:c r="F5" s="14" t="str">
        <x:v>50GB</x:v>
      </x:c>
      <x:c r="G5" s="14" t="str">
        <x:v>200GB</x:v>
      </x:c>
      <x:c r="H5" s="14" t="str">
        <x:v>GB × 0.025USD × 為替</x:v>
      </x:c>
      <x:c r="I5" s="90" t="n">
        <x:f>ROUND($U$8*$U$2,0)</x:f>
        <x:v>40</x:v>
      </x:c>
      <x:c r="J5" s="90" t="n">
        <x:f>ROUND($V$8*$V$2,0)</x:f>
        <x:v>200</x:v>
      </x:c>
      <x:c r="K5" s="90" t="n">
        <x:f>ROUND($W$8*$W$2,0)</x:f>
        <x:v>800</x:v>
      </x:c>
      <x:c r="L5" s="14" t="str">
        <x:v>主計算では除外</x:v>
      </x:c>
      <x:c r="M5" s="14" t="str">
        <x:v>不可</x:v>
      </x:c>
      <x:c r="N5" s="14" t="str">
        <x:v>全額</x:v>
      </x:c>
      <x:c r="O5" s="14" t="str">
        <x:v>lifecycle、不要version削除</x:v>
      </x:c>
      <x:c r="P5" s="14" t="str">
        <x:v>高：音声蓄積</x:v>
      </x:c>
      <x:c r="Q5" s="14" t="n">
        <x:v>13</x:v>
      </x:c>
      <x:c r="R5" s="14" t="str">
        <x:v>計画用東京単価。</x:v>
      </x:c>
      <x:c r="T5" s="14" t="str">
        <x:v>RDS compute</x:v>
      </x:c>
      <x:c r="U5" s="88" t="n">
        <x:v>1.2</x:v>
      </x:c>
      <x:c r="V5" s="88" t="n">
        <x:v>3</x:v>
      </x:c>
      <x:c r="W5" s="88" t="n">
        <x:v>21.9</x:v>
      </x:c>
    </x:row>
    <x:row r="6" ht="28" customHeight="1">
      <x:c r="A6" s="14" t="n">
        <x:v>5</x:v>
      </x:c>
      <x:c r="B6" s="14" t="str">
        <x:v>Amazon S3</x:v>
      </x:c>
      <x:c r="C6" s="14" t="str">
        <x:v>PUT/GETリクエスト</x:v>
      </x:c>
      <x:c r="D6" s="14" t="str">
        <x:v>1,000件</x:v>
      </x:c>
      <x:c r="E6" s="14" t="str">
        <x:v>PUT1千/GET1万</x:v>
      </x:c>
      <x:c r="F6" s="14" t="str">
        <x:v>PUT2万/GET10万</x:v>
      </x:c>
      <x:c r="G6" s="14" t="str">
        <x:v>PUT20万/GET200万</x:v>
      </x:c>
      <x:c r="H6" s="14" t="str">
        <x:v>PUT/GET件数 × 各単価 × 為替</x:v>
      </x:c>
      <x:c r="I6" s="90" t="n">
        <x:f>ROUND($U$9*$U$2,0)</x:f>
        <x:v>2</x:v>
      </x:c>
      <x:c r="J6" s="90" t="n">
        <x:f>ROUND($V$9*$V$2,0)</x:f>
        <x:v>21</x:v>
      </x:c>
      <x:c r="K6" s="90" t="n">
        <x:f>ROUND($W$9*$W$2,0)</x:f>
        <x:v>269</x:v>
      </x:c>
      <x:c r="L6" s="14" t="str">
        <x:v>主計算では除外</x:v>
      </x:c>
      <x:c r="M6" s="14" t="str">
        <x:v>不可</x:v>
      </x:c>
      <x:c r="N6" s="14" t="str">
        <x:v>発生済みrequest</x:v>
      </x:c>
      <x:c r="O6" s="14" t="str">
        <x:v>細かすぎるfile分割を避ける</x:v>
      </x:c>
      <x:c r="P6" s="14" t="str">
        <x:v>中：波形の細分化</x:v>
      </x:c>
      <x:c r="Q6" s="14" t="n">
        <x:v>13</x:v>
      </x:c>
      <x:c r="R6" s="14" t="str">
        <x:v>前段の複合概算USDを使用。</x:v>
      </x:c>
      <x:c r="T6" s="14" t="str">
        <x:v>RDS storage</x:v>
      </x:c>
      <x:c r="U6" s="88" t="n">
        <x:v>2.76</x:v>
      </x:c>
      <x:c r="V6" s="88" t="n">
        <x:v>2.76</x:v>
      </x:c>
      <x:c r="W6" s="88" t="n">
        <x:v>2.76</x:v>
      </x:c>
    </x:row>
    <x:row r="7" ht="28" customHeight="1">
      <x:c r="A7" s="14" t="n">
        <x:v>6</x:v>
      </x:c>
      <x:c r="B7" s="14" t="str">
        <x:v>AWS Lambda</x:v>
      </x:c>
      <x:c r="C7" s="14" t="str">
        <x:v>API + Audio Worker</x:v>
      </x:c>
      <x:c r="D7" s="14" t="str">
        <x:v>GB秒・request</x:v>
      </x:c>
      <x:c r="E7" s="14" t="str">
        <x:v>API5千/Job100</x:v>
      </x:c>
      <x:c r="F7" s="14" t="str">
        <x:v>API10万/Job1千</x:v>
      </x:c>
      <x:c r="G7" s="14" t="str">
        <x:v>API100万/Job1万</x:v>
      </x:c>
      <x:c r="H7" s="14" t="str">
        <x:v>メモリGB × 実行秒 × 回数 + request</x:v>
      </x:c>
      <x:c r="I7" s="90" t="n">
        <x:f>ROUND($U$10*$U$2,0)</x:f>
        <x:v>24</x:v>
      </x:c>
      <x:c r="J7" s="90" t="n">
        <x:f>ROUND($V$10*$V$2,0)</x:f>
        <x:v>296</x:v>
      </x:c>
      <x:c r="K7" s="90" t="n">
        <x:f>ROUND($W$10*$W$2,0)</x:f>
        <x:v>2960</x:v>
      </x:c>
      <x:c r="L7" s="14" t="str">
        <x:v>月100万request等の無料枠参考</x:v>
      </x:c>
      <x:c r="M7" s="14" t="str">
        <x:v>実行時のみ</x:v>
      </x:c>
      <x:c r="N7" s="14" t="str">
        <x:v>ログ、成果物S3</x:v>
      </x:c>
      <x:c r="O7" s="14" t="str">
        <x:v>arm64、memory/時間実測</x:v>
      </x:c>
      <x:c r="P7" s="14" t="str">
        <x:v>高：FFmpeg長時間化</x:v>
      </x:c>
      <x:c r="Q7" s="14" t="n">
        <x:v>14</x:v>
      </x:c>
      <x:c r="R7" s="14" t="str">
        <x:v>SnapStart固有料金なし。</x:v>
      </x:c>
      <x:c r="T7" s="14" t="str">
        <x:v>Secrets Manager</x:v>
      </x:c>
      <x:c r="U7" s="88" t="n">
        <x:v>0.4</x:v>
      </x:c>
      <x:c r="V7" s="88" t="n">
        <x:v>0.4</x:v>
      </x:c>
      <x:c r="W7" s="88" t="n">
        <x:v>0.4</x:v>
      </x:c>
    </x:row>
    <x:row r="8" ht="28" customHeight="1">
      <x:c r="A8" s="14" t="n">
        <x:v>7</x:v>
      </x:c>
      <x:c r="B8" s="14" t="str">
        <x:v>Amazon API Gateway</x:v>
      </x:c>
      <x:c r="C8" s="14" t="str">
        <x:v>HTTP API</x:v>
      </x:c>
      <x:c r="D8" s="14" t="str">
        <x:v>100万request</x:v>
      </x:c>
      <x:c r="E8" s="14" t="str">
        <x:v>0.005M</x:v>
      </x:c>
      <x:c r="F8" s="14" t="str">
        <x:v>0.1M</x:v>
      </x:c>
      <x:c r="G8" s="14" t="str">
        <x:v>1M</x:v>
      </x:c>
      <x:c r="H8" s="14" t="str">
        <x:v>request(M) × 1.00USD × 為替</x:v>
      </x:c>
      <x:c r="I8" s="90" t="n">
        <x:f>ROUND($U$11*$U$2,0)</x:f>
        <x:v>2</x:v>
      </x:c>
      <x:c r="J8" s="90" t="n">
        <x:f>ROUND($V$11*$V$2,0)</x:f>
        <x:v>16</x:v>
      </x:c>
      <x:c r="K8" s="90" t="n">
        <x:f>ROUND($W$11*$W$2,0)</x:f>
        <x:v>160</x:v>
      </x:c>
      <x:c r="L8" s="14" t="str">
        <x:v>新規Account credit等は除外</x:v>
      </x:c>
      <x:c r="M8" s="14" t="str">
        <x:v>実行時のみ</x:v>
      </x:c>
      <x:c r="N8" s="14" t="str">
        <x:v>なし</x:v>
      </x:c>
      <x:c r="O8" s="14" t="str">
        <x:v>REST APIでなくHTTP API</x:v>
      </x:c>
      <x:c r="P8" s="14" t="str">
        <x:v>中：Bot/不正呼出</x:v>
      </x:c>
      <x:c r="Q8" s="14" t="n">
        <x:v>15</x:v>
      </x:c>
      <x:c r="R8" s="14" t="str">
        <x:v>Throttle設定。</x:v>
      </x:c>
      <x:c r="T8" s="14" t="str">
        <x:v>S3 storage</x:v>
      </x:c>
      <x:c r="U8" s="88" t="n">
        <x:v>0.25</x:v>
      </x:c>
      <x:c r="V8" s="88" t="n">
        <x:v>1.25</x:v>
      </x:c>
      <x:c r="W8" s="88" t="n">
        <x:v>5</x:v>
      </x:c>
    </x:row>
    <x:row r="9" ht="28" customHeight="1">
      <x:c r="A9" s="14" t="n">
        <x:v>8</x:v>
      </x:c>
      <x:c r="B9" s="14" t="str">
        <x:v>Amazon Cognito</x:v>
      </x:c>
      <x:c r="C9" s="14" t="str">
        <x:v>MAU</x:v>
      </x:c>
      <x:c r="D9" s="14" t="str">
        <x:v>MAU</x:v>
      </x:c>
      <x:c r="E9" s="14" t="str">
        <x:v>10</x:v>
      </x:c>
      <x:c r="F9" s="14" t="str">
        <x:v>50</x:v>
      </x:c>
      <x:c r="G9" s="14" t="str">
        <x:v>500</x:v>
      </x:c>
      <x:c r="H9" s="14" t="str">
        <x:v>MAU × 0.015USD × 為替</x:v>
      </x:c>
      <x:c r="I9" s="90" t="n">
        <x:f>ROUND($U$12*$U$2,0)</x:f>
        <x:v>24</x:v>
      </x:c>
      <x:c r="J9" s="90" t="n">
        <x:f>ROUND($V$12*$V$2,0)</x:f>
        <x:v>120</x:v>
      </x:c>
      <x:c r="K9" s="90" t="n">
        <x:f>ROUND($W$12*$W$2,0)</x:f>
        <x:v>1200</x:v>
      </x:c>
      <x:c r="L9" s="14" t="str">
        <x:v>Essentials直接loginは1万MAU無料参考</x:v>
      </x:c>
      <x:c r="M9" s="14" t="str">
        <x:v>不可</x:v>
      </x:c>
      <x:c r="N9" s="14" t="str">
        <x:v>当月MAU</x:v>
      </x:c>
      <x:c r="O9" s="14" t="str">
        <x:v>TOTP、SMSを初期必須にしない</x:v>
      </x:c>
      <x:c r="P9" s="14" t="str">
        <x:v>中：SMSとMAU</x:v>
      </x:c>
      <x:c r="Q9" s="14" t="n">
        <x:v>16</x:v>
      </x:c>
      <x:c r="R9" s="14" t="str">
        <x:v>無料枠は主計算から除外。</x:v>
      </x:c>
      <x:c r="T9" s="14" t="str">
        <x:v>S3 requests</x:v>
      </x:c>
      <x:c r="U9" s="88" t="n">
        <x:v>0.01</x:v>
      </x:c>
      <x:c r="V9" s="88" t="n">
        <x:v>0.13</x:v>
      </x:c>
      <x:c r="W9" s="88" t="n">
        <x:v>1.68</x:v>
      </x:c>
    </x:row>
    <x:row r="10" ht="28" customHeight="1">
      <x:c r="A10" s="14" t="n">
        <x:v>9</x:v>
      </x:c>
      <x:c r="B10" s="14" t="str">
        <x:v>Amazon SQS</x:v>
      </x:c>
      <x:c r="C10" s="14" t="str">
        <x:v>Standard request</x:v>
      </x:c>
      <x:c r="D10" s="14" t="str">
        <x:v>100万request</x:v>
      </x:c>
      <x:c r="E10" s="14" t="str">
        <x:v>0.001M</x:v>
      </x:c>
      <x:c r="F10" s="14" t="str">
        <x:v>0.01M</x:v>
      </x:c>
      <x:c r="G10" s="14" t="str">
        <x:v>0.1M</x:v>
      </x:c>
      <x:c r="H10" s="14" t="str">
        <x:v>request(M) × 0.40USD × 為替</x:v>
      </x:c>
      <x:c r="I10" s="90" t="n">
        <x:f>ROUND($U$13*$U$2,0)</x:f>
        <x:v>0</x:v>
      </x:c>
      <x:c r="J10" s="90" t="n">
        <x:f>ROUND($V$13*$V$2,0)</x:f>
        <x:v>0</x:v>
      </x:c>
      <x:c r="K10" s="90" t="n">
        <x:f>ROUND($W$13*$W$2,0)</x:f>
        <x:v>6</x:v>
      </x:c>
      <x:c r="L10" s="14" t="str">
        <x:v>月100万request無料参考</x:v>
      </x:c>
      <x:c r="M10" s="14" t="str">
        <x:v>実行時のみ</x:v>
      </x:c>
      <x:c r="N10" s="14" t="str">
        <x:v>なし</x:v>
      </x:c>
      <x:c r="O10" s="14" t="str">
        <x:v>Batch受信、retry制御</x:v>
      </x:c>
      <x:c r="P10" s="14" t="str">
        <x:v>低：retry loop</x:v>
      </x:c>
      <x:c r="Q10" s="14" t="n">
        <x:v>17</x:v>
      </x:c>
      <x:c r="R10" s="14" t="str">
        <x:v>標準利用は丸めて0円。</x:v>
      </x:c>
      <x:c r="T10" s="14" t="str">
        <x:v>Lambda</x:v>
      </x:c>
      <x:c r="U10" s="88" t="n">
        <x:v>0.15</x:v>
      </x:c>
      <x:c r="V10" s="88" t="n">
        <x:v>1.85</x:v>
      </x:c>
      <x:c r="W10" s="88" t="n">
        <x:v>18.5</x:v>
      </x:c>
    </x:row>
    <x:row r="11" ht="28" customHeight="1">
      <x:c r="A11" s="14" t="n">
        <x:v>10</x:v>
      </x:c>
      <x:c r="B11" s="14" t="str">
        <x:v>Amazon CloudFront</x:v>
      </x:c>
      <x:c r="C11" s="14" t="str">
        <x:v>日本向けデータ転送</x:v>
      </x:c>
      <x:c r="D11" s="14" t="str">
        <x:v>GB</x:v>
      </x:c>
      <x:c r="E11" s="14" t="str">
        <x:v>5GB</x:v>
      </x:c>
      <x:c r="F11" s="14" t="str">
        <x:v>50GB</x:v>
      </x:c>
      <x:c r="G11" s="14" t="str">
        <x:v>500GB</x:v>
      </x:c>
      <x:c r="H11" s="14" t="str">
        <x:v>GB × 0.114USD × 為替</x:v>
      </x:c>
      <x:c r="I11" s="90" t="n">
        <x:f>ROUND($U$14*$U$2,0)</x:f>
        <x:v>91</x:v>
      </x:c>
      <x:c r="J11" s="90" t="n">
        <x:f>ROUND($V$14*$V$2,0)</x:f>
        <x:v>912</x:v>
      </x:c>
      <x:c r="K11" s="90" t="n">
        <x:f>ROUND($W$14*$W$2,0)</x:f>
        <x:v>9120</x:v>
      </x:c>
      <x:c r="L11" s="14" t="str">
        <x:v>毎月1TB無料参考</x:v>
      </x:c>
      <x:c r="M11" s="14" t="str">
        <x:v>不可</x:v>
      </x:c>
      <x:c r="N11" s="14" t="str">
        <x:v>発生済み転送</x:v>
      </x:c>
      <x:c r="O11" s="14" t="str">
        <x:v>cache、圧縮、音声preview</x:v>
      </x:c>
      <x:c r="P11" s="14" t="str">
        <x:v>高：音声再生量</x:v>
      </x:c>
      <x:c r="Q11" s="14" t="n">
        <x:v>18</x:v>
      </x:c>
      <x:c r="R11" s="14" t="str">
        <x:v>無料枠除外の安全側。</x:v>
      </x:c>
      <x:c r="T11" s="14" t="str">
        <x:v>API Gateway</x:v>
      </x:c>
      <x:c r="U11" s="88" t="n">
        <x:v>0.01</x:v>
      </x:c>
      <x:c r="V11" s="88" t="n">
        <x:v>0.1</x:v>
      </x:c>
      <x:c r="W11" s="88" t="n">
        <x:v>1</x:v>
      </x:c>
    </x:row>
    <x:row r="12" ht="28" customHeight="1">
      <x:c r="A12" s="14" t="n">
        <x:v>11</x:v>
      </x:c>
      <x:c r="B12" s="14" t="str">
        <x:v>Amazon CloudFront</x:v>
      </x:c>
      <x:c r="C12" s="14" t="str">
        <x:v>HTTPSリクエスト</x:v>
      </x:c>
      <x:c r="D12" s="14" t="str">
        <x:v>1万件</x:v>
      </x:c>
      <x:c r="E12" s="14" t="str">
        <x:v>1</x:v>
      </x:c>
      <x:c r="F12" s="14" t="str">
        <x:v>10</x:v>
      </x:c>
      <x:c r="G12" s="14" t="str">
        <x:v>200</x:v>
      </x:c>
      <x:c r="H12" s="14" t="str">
        <x:v>単位 × 0.012USD × 為替</x:v>
      </x:c>
      <x:c r="I12" s="90" t="n">
        <x:f>ROUND($U$15*$U$2,0)</x:f>
        <x:v>2</x:v>
      </x:c>
      <x:c r="J12" s="90" t="n">
        <x:f>ROUND($V$15*$V$2,0)</x:f>
        <x:v>19</x:v>
      </x:c>
      <x:c r="K12" s="90" t="n">
        <x:f>ROUND($W$15*$W$2,0)</x:f>
        <x:v>384</x:v>
      </x:c>
      <x:c r="L12" s="14" t="str">
        <x:v>毎月1,000万件無料参考</x:v>
      </x:c>
      <x:c r="M12" s="14" t="str">
        <x:v>実行時のみ</x:v>
      </x:c>
      <x:c r="N12" s="14" t="str">
        <x:v>なし</x:v>
      </x:c>
      <x:c r="O12" s="14" t="str">
        <x:v>cache、file数削減</x:v>
      </x:c>
      <x:c r="P12" s="14" t="str">
        <x:v>低～中：小file増加</x:v>
      </x:c>
      <x:c r="Q12" s="14" t="n">
        <x:v>18</x:v>
      </x:c>
      <x:c r="R12" s="14" t="str">
        <x:v>前段概算。</x:v>
      </x:c>
      <x:c r="T12" s="14" t="str">
        <x:v>Cognito</x:v>
      </x:c>
      <x:c r="U12" s="88" t="n">
        <x:v>0.15</x:v>
      </x:c>
      <x:c r="V12" s="88" t="n">
        <x:v>0.75</x:v>
      </x:c>
      <x:c r="W12" s="88" t="n">
        <x:v>7.5</x:v>
      </x:c>
    </x:row>
    <x:row r="13" ht="28" customHeight="1">
      <x:c r="A13" s="14" t="n">
        <x:v>12</x:v>
      </x:c>
      <x:c r="B13" s="14" t="str">
        <x:v>Amazon CloudWatch</x:v>
      </x:c>
      <x:c r="C13" s="14" t="str">
        <x:v>Logs取込・保存</x:v>
      </x:c>
      <x:c r="D13" s="14" t="str">
        <x:v>GB</x:v>
      </x:c>
      <x:c r="E13" s="14" t="str">
        <x:v>0.5GB</x:v>
      </x:c>
      <x:c r="F13" s="14" t="str">
        <x:v>2GB</x:v>
      </x:c>
      <x:c r="G13" s="14" t="str">
        <x:v>10GB</x:v>
      </x:c>
      <x:c r="H13" s="14" t="str">
        <x:v>GB × 0.76USD × 為替</x:v>
      </x:c>
      <x:c r="I13" s="90" t="n">
        <x:f>ROUND($U$16*$U$2,0)</x:f>
        <x:v>61</x:v>
      </x:c>
      <x:c r="J13" s="90" t="n">
        <x:f>ROUND($V$16*$V$2,0)</x:f>
        <x:v>243</x:v>
      </x:c>
      <x:c r="K13" s="90" t="n">
        <x:f>ROUND($W$16*$W$2,0)</x:f>
        <x:v>1216</x:v>
      </x:c>
      <x:c r="L13" s="14" t="str">
        <x:v>5GB無料枠参考</x:v>
      </x:c>
      <x:c r="M13" s="14" t="str">
        <x:v>不可</x:v>
      </x:c>
      <x:c r="N13" s="14" t="str">
        <x:v>保存ログ</x:v>
      </x:c>
      <x:c r="O13" s="14" t="str">
        <x:v>14～30日retention、DEBUG停止</x:v>
      </x:c>
      <x:c r="P13" s="14" t="str">
        <x:v>高：大量ログ</x:v>
      </x:c>
      <x:c r="Q13" s="14" t="n">
        <x:v>19</x:v>
      </x:c>
      <x:c r="R13" s="14" t="str">
        <x:v>計画用東京単価。</x:v>
      </x:c>
      <x:c r="T13" s="14" t="str">
        <x:v>SQS</x:v>
      </x:c>
      <x:c r="U13" s="88" t="n">
        <x:v>0</x:v>
      </x:c>
      <x:c r="V13" s="88" t="n">
        <x:v>0</x:v>
      </x:c>
      <x:c r="W13" s="88" t="n">
        <x:v>0.04</x:v>
      </x:c>
    </x:row>
    <x:row r="14" ht="28" customHeight="1">
      <x:c r="A14" s="14" t="n">
        <x:v>13</x:v>
      </x:c>
      <x:c r="B14" s="14" t="str">
        <x:v>Amazon Route 53</x:v>
      </x:c>
      <x:c r="C14" s="14" t="str">
        <x:v>Hosted Zone + DNS</x:v>
      </x:c>
      <x:c r="D14" s="14" t="str">
        <x:v>月・query</x:v>
      </x:c>
      <x:c r="E14" s="14" t="str">
        <x:v>未使用</x:v>
      </x:c>
      <x:c r="F14" s="14" t="str">
        <x:v>1Zone</x:v>
      </x:c>
      <x:c r="G14" s="14" t="str">
        <x:v>1Zone+増加query</x:v>
      </x:c>
      <x:c r="H14" s="14" t="str">
        <x:v>0.50USD + query × 為替</x:v>
      </x:c>
      <x:c r="I14" s="90" t="n">
        <x:f>ROUND($U$17*$U$2,0)</x:f>
        <x:v>0</x:v>
      </x:c>
      <x:c r="J14" s="90" t="n">
        <x:f>ROUND($V$17*$V$2,0)</x:f>
        <x:v>86</x:v>
      </x:c>
      <x:c r="K14" s="90" t="n">
        <x:f>ROUND($W$17*$W$2,0)</x:f>
        <x:v>144</x:v>
      </x:c>
      <x:c r="L14" s="14" t="str">
        <x:v>なし</x:v>
      </x:c>
      <x:c r="M14" s="14" t="str">
        <x:v>不可</x:v>
      </x:c>
      <x:c r="N14" s="14" t="str">
        <x:v>Hosted Zone</x:v>
      </x:c>
      <x:c r="O14" s="14" t="str">
        <x:v>初期はCloudFront domain</x:v>
      </x:c>
      <x:c r="P14" s="14" t="str">
        <x:v>低：Zone重複</x:v>
      </x:c>
      <x:c r="Q14" s="14" t="n">
        <x:v>20</x:v>
      </x:c>
      <x:c r="R14" s="14" t="str">
        <x:v>独自ドメイン時のみ。</x:v>
      </x:c>
      <x:c r="T14" s="14" t="str">
        <x:v>CloudFront transfer</x:v>
      </x:c>
      <x:c r="U14" s="88" t="n">
        <x:v>0.57</x:v>
      </x:c>
      <x:c r="V14" s="88" t="n">
        <x:v>5.7</x:v>
      </x:c>
      <x:c r="W14" s="88" t="n">
        <x:v>57</x:v>
      </x:c>
    </x:row>
    <x:row r="15" ht="28" customHeight="1">
      <x:c r="A15" s="14" t="n">
        <x:v>14</x:v>
      </x:c>
      <x:c r="B15" s="14" t="str">
        <x:v>Amazon S3</x:v>
      </x:c>
      <x:c r="C15" s="14" t="str">
        <x:v>audit/state保存</x:v>
      </x:c>
      <x:c r="D15" s="14" t="str">
        <x:v>GB・request</x:v>
      </x:c>
      <x:c r="E15" s="14" t="str">
        <x:v>小</x:v>
      </x:c>
      <x:c r="F15" s="14" t="str">
        <x:v>小</x:v>
      </x:c>
      <x:c r="G15" s="14" t="str">
        <x:v>中</x:v>
      </x:c>
      <x:c r="H15" s="14" t="str">
        <x:v>前段の固定概算USD × 為替</x:v>
      </x:c>
      <x:c r="I15" s="90" t="n">
        <x:f>ROUND($U$18*$U$2,0)</x:f>
        <x:v>8</x:v>
      </x:c>
      <x:c r="J15" s="90" t="n">
        <x:f>ROUND($V$18*$V$2,0)</x:f>
        <x:v>13</x:v>
      </x:c>
      <x:c r="K15" s="90" t="n">
        <x:f>ROUND($W$18*$W$2,0)</x:f>
        <x:v>32</x:v>
      </x:c>
      <x:c r="L15" s="14" t="str">
        <x:v>主計算では除外</x:v>
      </x:c>
      <x:c r="M15" s="14" t="str">
        <x:v>不可</x:v>
      </x:c>
      <x:c r="N15" s="14" t="str">
        <x:v>state version、audit log</x:v>
      </x:c>
      <x:c r="O15" s="14" t="str">
        <x:v>lifecycle、version整理</x:v>
      </x:c>
      <x:c r="P15" s="14" t="str">
        <x:v>低～中：state version</x:v>
      </x:c>
      <x:c r="Q15" s="14" t="n">
        <x:v>13</x:v>
      </x:c>
      <x:c r="R15" s="14" t="str">
        <x:v>stateは削除優先度低。</x:v>
      </x:c>
      <x:c r="T15" s="14" t="str">
        <x:v>CloudFront HTTPS</x:v>
      </x:c>
      <x:c r="U15" s="88" t="n">
        <x:v>0.01</x:v>
      </x:c>
      <x:c r="V15" s="88" t="n">
        <x:v>0.12</x:v>
      </x:c>
      <x:c r="W15" s="88" t="n">
        <x:v>2.4</x:v>
      </x:c>
    </x:row>
    <x:row r="16" ht="28" customHeight="1">
      <x:c r="A16" s="14" t="n">
        <x:v>15</x:v>
      </x:c>
      <x:c r="B16" s="14" t="str">
        <x:v>AWS Backup</x:v>
      </x:c>
      <x:c r="C16" s="14" t="str">
        <x:v>追加backup / RDS snapshot保存</x:v>
      </x:c>
      <x:c r="D16" s="14" t="str">
        <x:v>GB月</x:v>
      </x:c>
      <x:c r="E16" s="14" t="str">
        <x:v>0</x:v>
      </x:c>
      <x:c r="F16" s="14" t="str">
        <x:v>0</x:v>
      </x:c>
      <x:c r="G16" s="14" t="str">
        <x:v>増加</x:v>
      </x:c>
      <x:c r="H16" s="14" t="str">
        <x:v>前段の固定概算USD × 為替</x:v>
      </x:c>
      <x:c r="I16" s="90" t="n">
        <x:f>ROUND($U$19*$U$2,0)</x:f>
        <x:v>0</x:v>
      </x:c>
      <x:c r="J16" s="90" t="n">
        <x:f>ROUND($V$19*$V$2,0)</x:f>
        <x:v>0</x:v>
      </x:c>
      <x:c r="K16" s="90" t="n">
        <x:f>ROUND($W$19*$W$2,0)</x:f>
        <x:v>320</x:v>
      </x:c>
      <x:c r="L16" s="14" t="str">
        <x:v>RDS保持範囲参考</x:v>
      </x:c>
      <x:c r="M16" s="14" t="str">
        <x:v>不可</x:v>
      </x:c>
      <x:c r="N16" s="14" t="str">
        <x:v>全額</x:v>
      </x:c>
      <x:c r="O16" s="14" t="str">
        <x:v>保持期限、不要snapshot削除</x:v>
      </x:c>
      <x:c r="P16" s="14" t="str">
        <x:v>中：無期限保持</x:v>
      </x:c>
      <x:c r="Q16" s="14" t="n">
        <x:v>21</x:v>
      </x:c>
      <x:c r="R16" s="14" t="str">
        <x:v>標準では追加費用0と仮定。</x:v>
      </x:c>
      <x:c r="T16" s="14" t="str">
        <x:v>CloudWatch Logs</x:v>
      </x:c>
      <x:c r="U16" s="88" t="n">
        <x:v>0.38</x:v>
      </x:c>
      <x:c r="V16" s="88" t="n">
        <x:v>1.52</x:v>
      </x:c>
      <x:c r="W16" s="88" t="n">
        <x:v>7.6</x:v>
      </x:c>
    </x:row>
    <x:row r="17" ht="28" customHeight="1">
      <x:c r="T17" s="14" t="str">
        <x:v>Route 53</x:v>
      </x:c>
      <x:c r="U17" s="88" t="n">
        <x:v>0</x:v>
      </x:c>
      <x:c r="V17" s="88" t="n">
        <x:v>0.54</x:v>
      </x:c>
      <x:c r="W17" s="88" t="n">
        <x:v>0.9</x:v>
      </x:c>
    </x:row>
    <x:row r="18" ht="34" customHeight="1">
      <x:c r="A18" s="96" t="str">
        <x:v>最小利用時の月額合計</x:v>
      </x:c>
      <x:c r="B18" s="121"/>
      <x:c r="C18" s="96"/>
      <x:c r="D18" s="96"/>
      <x:c r="E18" s="90" t="n">
        <x:f>SUM(I2:I16)</x:f>
        <x:v>952</x:v>
      </x:c>
      <x:c r="F18" s="14"/>
      <x:c r="G18" s="14"/>
      <x:c r="H18" s="14"/>
      <x:c r="T18" s="14" t="str">
        <x:v>Audit/state</x:v>
      </x:c>
      <x:c r="U18" s="88" t="n">
        <x:v>0.05</x:v>
      </x:c>
      <x:c r="V18" s="88" t="n">
        <x:v>0.08</x:v>
      </x:c>
      <x:c r="W18" s="88" t="n">
        <x:v>0.2</x:v>
      </x:c>
    </x:row>
    <x:row r="19" ht="34" customHeight="1">
      <x:c r="A19" s="96" t="str">
        <x:v>標準利用時の月額合計</x:v>
      </x:c>
      <x:c r="B19" s="121"/>
      <x:c r="C19" s="96"/>
      <x:c r="D19" s="96"/>
      <x:c r="E19" s="90" t="n">
        <x:f>SUM(J2:J16)</x:f>
        <x:v>2912</x:v>
      </x:c>
      <x:c r="F19" s="14"/>
      <x:c r="G19" s="14"/>
      <x:c r="H19" s="14"/>
      <x:c r="T19" s="14" t="str">
        <x:v>Backup</x:v>
      </x:c>
      <x:c r="U19" s="88" t="n">
        <x:v>0</x:v>
      </x:c>
      <x:c r="V19" s="88" t="n">
        <x:v>0</x:v>
      </x:c>
      <x:c r="W19" s="88" t="n">
        <x:v>2</x:v>
      </x:c>
    </x:row>
    <x:row r="20" ht="34" customHeight="1">
      <x:c r="A20" s="96" t="str">
        <x:v>増加時の月額合計</x:v>
      </x:c>
      <x:c r="B20" s="121"/>
      <x:c r="C20" s="96"/>
      <x:c r="D20" s="96"/>
      <x:c r="E20" s="90" t="n">
        <x:f>SUM(K2:K16)</x:f>
        <x:v>20621</x:v>
      </x:c>
      <x:c r="F20" s="14"/>
      <x:c r="G20" s="14"/>
      <x:c r="H20" s="14"/>
      <x:c r="Y20" s="6" t="str">
        <x:v>シナリオ</x:v>
      </x:c>
      <x:c r="Z20" s="6" t="str">
        <x:v>月額（円）</x:v>
      </x:c>
    </x:row>
    <x:row r="21" ht="34" customHeight="1">
      <x:c r="A21" s="96" t="str">
        <x:v>予算下限との差額（標準－下限）</x:v>
      </x:c>
      <x:c r="B21" s="121"/>
      <x:c r="C21" s="96"/>
      <x:c r="D21" s="96"/>
      <x:c r="E21" s="90" t="n">
        <x:f>E19-$U$3</x:f>
        <x:v>-2088</x:v>
      </x:c>
      <x:c r="F21" s="14"/>
      <x:c r="G21" s="14"/>
      <x:c r="H21" s="14"/>
      <x:c r="Y21" s="96" t="str">
        <x:v>最小</x:v>
      </x:c>
      <x:c r="Z21" s="134" t="n">
        <x:f>E18</x:f>
        <x:v>952</x:v>
      </x:c>
    </x:row>
    <x:row r="22" ht="34" customHeight="1">
      <x:c r="A22" s="96" t="str">
        <x:v>予算上限との差額（上限－標準）</x:v>
      </x:c>
      <x:c r="B22" s="121"/>
      <x:c r="C22" s="96"/>
      <x:c r="D22" s="96"/>
      <x:c r="E22" s="90" t="n">
        <x:f>$U$4-E19</x:f>
        <x:v>5088</x:v>
      </x:c>
      <x:c r="F22" s="14"/>
      <x:c r="G22" s="14"/>
      <x:c r="H22" s="14"/>
      <x:c r="Y22" s="96" t="str">
        <x:v>標準</x:v>
      </x:c>
      <x:c r="Z22" s="134" t="n">
        <x:f>E19</x:f>
        <x:v>2912</x:v>
      </x:c>
    </x:row>
    <x:row r="23" ht="34" customHeight="1">
      <x:c r="A23" s="96" t="str">
        <x:v>予算内かどうか</x:v>
      </x:c>
      <x:c r="B23" s="122"/>
      <x:c r="C23" s="96"/>
      <x:c r="D23" s="96"/>
      <x:c r="E23" s="132" t="str">
        <x:f>IF(E19&lt;=$U$4,"予算内","予算超過")</x:f>
        <x:v>予算内</x:v>
      </x:c>
      <x:c r="F23" s="132"/>
      <x:c r="G23" s="132"/>
      <x:c r="H23" s="132"/>
      <x:c r="Y23" s="96" t="str">
        <x:v>増加時</x:v>
      </x:c>
      <x:c r="Z23" s="134" t="n">
        <x:f>E20</x:f>
        <x:v>20621</x:v>
      </x:c>
    </x:row>
    <x:row r="24" ht="34" customHeight="1">
      <x:c r="A24" s="96" t="str">
        <x:v>最も影響の大きいコスト項目</x:v>
      </x:c>
      <x:c r="B24" s="122"/>
      <x:c r="C24" s="96"/>
      <x:c r="D24" s="96"/>
      <x:c r="E24" s="14" t="str">
        <x:f>INDEX(B2:B16,MATCH(MAX(J2:J16),J2:J16,0))&amp;" / "&amp;INDEX(C2:C16,MATCH(MAX(J2:J16),J2:J16,0))</x:f>
        <x:v>Amazon CloudFront / 日本向けデータ転送</x:v>
      </x:c>
      <x:c r="F24" s="14"/>
      <x:c r="G24" s="14"/>
      <x:c r="H24" s="14"/>
    </x:row>
    <x:row r="25" ht="34" customHeight="1">
      <x:c r="A25" s="96" t="str">
        <x:v>優先的に停止または削除すべきリソース</x:v>
      </x:c>
      <x:c r="B25" s="122"/>
      <x:c r="C25" s="96"/>
      <x:c r="D25" s="96"/>
      <x:c r="E25" s="14" t="str">
        <x:v>NAT Gateway、不要なRDS、RDS Proxy、AWS WAF、Interface VPC Endpoint、古いsnapshot、CloudWatch Logs、未完了Multipart、ECR image</x:v>
      </x:c>
      <x:c r="F25" s="14"/>
      <x:c r="G25" s="14"/>
      <x:c r="H25" s="14"/>
    </x:row>
  </x:sheetData>
  <x:mergeCells>
    <x:mergeCell ref="A18:D18"/>
    <x:mergeCell ref="E18:H18"/>
    <x:mergeCell ref="A19:D19"/>
    <x:mergeCell ref="E19:H19"/>
    <x:mergeCell ref="A20:D20"/>
    <x:mergeCell ref="E20:H20"/>
    <x:mergeCell ref="A21:D21"/>
    <x:mergeCell ref="E21:H21"/>
    <x:mergeCell ref="A22:D22"/>
    <x:mergeCell ref="E22:H22"/>
    <x:mergeCell ref="A23:D23"/>
    <x:mergeCell ref="E23:H23"/>
    <x:mergeCell ref="A24:D24"/>
    <x:mergeCell ref="E24:H24"/>
    <x:mergeCell ref="A25:D25"/>
    <x:mergeCell ref="E25:H25"/>
  </x:mergeCells>
  <x:conditionalFormatting sqref="B23:B23">
    <x:cfRule type="expression" dxfId="0" priority="1">
      <x:formula>B23="予算超過"</x:formula>
    </x:cfRule>
    <x:cfRule type="expression" dxfId="1" priority="2">
      <x:formula>B23="予算内"</x:formula>
    </x:cfRule>
  </x:conditionalFormatting>
  <x:conditionalFormatting sqref="P2:P16">
    <x:cfRule type="expression" dxfId="2" priority="3">
      <x:formula>LEFT(P2,1)="高"</x:formula>
    </x:cfRule>
    <x:cfRule type="expression" dxfId="3" priority="4">
      <x:formula>LEFT(P2,1)="中"</x:formula>
    </x:cfRule>
  </x:conditionalFormatting>
  <x:conditionalFormatting sqref="E23:E23">
    <x:cfRule type="expression" dxfId="9" priority="5">
      <x:formula>E23="予算超過"</x:formula>
    </x:cfRule>
    <x:cfRule type="expression" dxfId="10" priority="6">
      <x:formula>E23="予算内"</x:formula>
    </x:cfRule>
  </x:conditionalFormatting>
  <x:pageMargins left="0.7" right="0.7" top="0.75" bottom="0.75" header="0.3" footer="0.3"/>
  <x:drawing xmlns:r="http://schemas.openxmlformats.org/officeDocument/2006/relationships" r:id="R8cc8fc06724b4729"/>
  <x:tableParts count="1">
    <x:tablePart xmlns:r="http://schemas.openxmlformats.org/officeDocument/2006/relationships" r:id="R1e4a2c9c150c4c1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0" hidden="0" customWidth="1"/>
    <x:col min="4" max="4" width="38" hidden="0" customWidth="1"/>
    <x:col min="5" max="5" width="42" hidden="0" customWidth="1"/>
    <x:col min="6" max="6" width="20" hidden="0" customWidth="1"/>
    <x:col min="7" max="7" width="22" hidden="0" customWidth="1"/>
    <x:col min="8" max="8" width="42" hidden="0" customWidth="1"/>
    <x:col min="9" max="9" width="38" hidden="0" customWidth="1"/>
    <x:col min="10" max="10" width="20" hidden="0" customWidth="1"/>
    <x:col min="11" max="11" width="18" hidden="0" customWidth="1"/>
    <x:col min="12" max="12" width="18" hidden="0" customWidth="1"/>
    <x:col min="13" max="13" width="14" hidden="0" customWidth="1"/>
    <x:col min="14" max="14" width="36" hidden="0" customWidth="1"/>
  </x:cols>
  <x:sheetData>
    <x:row r="1" ht="34" customHeight="1">
      <x:c r="A1" s="6" t="str">
        <x:v>No.</x:v>
      </x:c>
      <x:c r="B1" s="6" t="str">
        <x:v>分類</x:v>
      </x:c>
      <x:c r="C1" s="6" t="str">
        <x:v>対象サービス</x:v>
      </x:c>
      <x:c r="D1" s="6" t="str">
        <x:v>リスク</x:v>
      </x:c>
      <x:c r="E1" s="6" t="str">
        <x:v>対策</x:v>
      </x:c>
      <x:c r="F1" s="6" t="str">
        <x:v>初期導入の必要性</x:v>
      </x:c>
      <x:c r="G1" s="6" t="str">
        <x:v>将来導入の必要性</x:v>
      </x:c>
      <x:c r="H1" s="6" t="str">
        <x:v>実装方法</x:v>
      </x:c>
      <x:c r="I1" s="6" t="str">
        <x:v>確認方法</x:v>
      </x:c>
      <x:c r="J1" s="6" t="str">
        <x:v>コスト</x:v>
      </x:c>
      <x:c r="K1" s="6" t="str">
        <x:v>運用頻度</x:v>
      </x:c>
      <x:c r="L1" s="6" t="str">
        <x:v>担当</x:v>
      </x:c>
      <x:c r="M1" s="6" t="str">
        <x:v>優先度</x:v>
      </x:c>
      <x:c r="N1" s="6" t="str">
        <x:v>備考</x:v>
      </x:c>
    </x:row>
    <x:row r="2" ht="56" customHeight="1">
      <x:c r="A2" s="14" t="n">
        <x:v>1</x:v>
      </x:c>
      <x:c r="B2" s="14" t="str">
        <x:v>IAM</x:v>
      </x:c>
      <x:c r="C2" s="14" t="str">
        <x:v>全サービス</x:v>
      </x:c>
      <x:c r="D2" s="14" t="str">
        <x:v>過剰権限による情報漏えい・誤削除</x:v>
      </x:c>
      <x:c r="E2" s="14" t="str">
        <x:v>Roleを処理単位に分離しresource ARN・actionを限定</x:v>
      </x:c>
      <x:c r="F2" s="55" t="str">
        <x:v>必須</x:v>
      </x:c>
      <x:c r="G2" s="14" t="str">
        <x:v>継続改善</x:v>
      </x:c>
      <x:c r="H2" s="14" t="str">
        <x:v>IAM policy documentをTerraformで生成。Access Analyzerで外部公開確認。</x:v>
      </x:c>
      <x:c r="I2" s="14" t="str">
        <x:v>CloudTrailとAccess Analyzer findingsを月次確認</x:v>
      </x:c>
      <x:c r="J2" s="14" t="str">
        <x:v>0円中心</x:v>
      </x:c>
      <x:c r="K2" s="14" t="str">
        <x:v>月次・変更時</x:v>
      </x:c>
      <x:c r="L2" s="14" t="str">
        <x:v>インフラ担当</x:v>
      </x:c>
      <x:c r="M2" s="55" t="str">
        <x:v>高</x:v>
      </x:c>
      <x:c r="N2" s="14" t="str">
        <x:v>AdministratorAccessをアプリRoleへ付けない。</x:v>
      </x:c>
    </x:row>
    <x:row r="3" ht="56" customHeight="1">
      <x:c r="A3" s="14" t="n">
        <x:v>2</x:v>
      </x:c>
      <x:c r="B3" s="14" t="str">
        <x:v>認証</x:v>
      </x:c>
      <x:c r="C3" s="14" t="str">
        <x:v>Amazon Cognito</x:v>
      </x:c>
      <x:c r="D3" s="14" t="str">
        <x:v>不正ログイン、弱いパスワード</x:v>
      </x:c>
      <x:c r="E3" s="14" t="str">
        <x:v>User Pool password policy、メール確認、TOTPを選択可能にする</x:v>
      </x:c>
      <x:c r="F3" s="55" t="str">
        <x:v>必須</x:v>
      </x:c>
      <x:c r="G3" s="14" t="str">
        <x:v>MFA必須化を検討</x:v>
      </x:c>
      <x:c r="H3" s="14" t="str">
        <x:v>User Pool設定とReact認証フロー</x:v>
      </x:c>
      <x:c r="I3" s="14" t="str">
        <x:v>無効パスワード、未確認ユーザー、token期限をテスト</x:v>
      </x:c>
      <x:c r="J3" s="14" t="str">
        <x:v>MAU、SMS別</x:v>
      </x:c>
      <x:c r="K3" s="14" t="str">
        <x:v>四半期・設定変更時</x:v>
      </x:c>
      <x:c r="L3" s="14" t="str">
        <x:v>アプリ/インフラ</x:v>
      </x:c>
      <x:c r="M3" s="55" t="str">
        <x:v>高</x:v>
      </x:c>
      <x:c r="N3" s="14" t="str">
        <x:v>SMS MFAは初期必須にしない。</x:v>
      </x:c>
    </x:row>
    <x:row r="4" ht="56" customHeight="1">
      <x:c r="A4" s="14" t="n">
        <x:v>3</x:v>
      </x:c>
      <x:c r="B4" s="14" t="str">
        <x:v>認可</x:v>
      </x:c>
      <x:c r="C4" s="14" t="str">
        <x:v>API Gateway / Lambda / RDS</x:v>
      </x:c>
      <x:c r="D4" s="14" t="str">
        <x:v>他ユーザーのプロジェクト・音声へアクセス</x:v>
      </x:c>
      <x:c r="E4" s="14" t="str">
        <x:v>JWT subをサーバー側で取得しSQL・S3 keyへ強制適用</x:v>
      </x:c>
      <x:c r="F4" s="55" t="str">
        <x:v>必須</x:v>
      </x:c>
      <x:c r="G4" s="14" t="str">
        <x:v>共有権限モデル追加</x:v>
      </x:c>
      <x:c r="H4" s="14" t="str">
        <x:v>API Gateway JWT + Spring Service層所有権チェック</x:v>
      </x:c>
      <x:c r="I4" s="14" t="str">
        <x:v>ユーザーA/Bの相互アクセス拒否テスト</x:v>
      </x:c>
      <x:c r="J4" s="14" t="str">
        <x:v>低</x:v>
      </x:c>
      <x:c r="K4" s="14" t="str">
        <x:v>リリース毎</x:v>
      </x:c>
      <x:c r="L4" s="14" t="str">
        <x:v>アプリ担当</x:v>
      </x:c>
      <x:c r="M4" s="55" t="str">
        <x:v>最優先</x:v>
      </x:c>
      <x:c r="N4" s="14" t="str">
        <x:v>クライアントownerIdを信用しない。</x:v>
      </x:c>
    </x:row>
    <x:row r="5" ht="56" customHeight="1">
      <x:c r="A5" s="14" t="n">
        <x:v>4</x:v>
      </x:c>
      <x:c r="B5" s="14" t="str">
        <x:v>ネットワーク</x:v>
      </x:c>
      <x:c r="C5" s="14" t="str">
        <x:v>Amazon RDS / VPC</x:v>
      </x:c>
      <x:c r="D5" s="14" t="str">
        <x:v>DBのインターネット露出</x:v>
      </x:c>
      <x:c r="E5" s="14" t="str">
        <x:v>Private Subnet、publicly_accessible=false、SG参照許可</x:v>
      </x:c>
      <x:c r="F5" s="55" t="str">
        <x:v>必須</x:v>
      </x:c>
      <x:c r="G5" s="14" t="str">
        <x:v>Multi-AZ/追加Endpoint</x:v>
      </x:c>
      <x:c r="H5" s="14" t="str">
        <x:v>network moduleでSubnet/SG/Routeを固定</x:v>
      </x:c>
      <x:c r="I5" s="14" t="str">
        <x:v>外部端末から接続失敗、VPC Lambdaから成功</x:v>
      </x:c>
      <x:c r="J5" s="14" t="str">
        <x:v>VPC基本0円</x:v>
      </x:c>
      <x:c r="K5" s="14" t="str">
        <x:v>変更時・月次</x:v>
      </x:c>
      <x:c r="L5" s="14" t="str">
        <x:v>インフラ担当</x:v>
      </x:c>
      <x:c r="M5" s="55" t="str">
        <x:v>最優先</x:v>
      </x:c>
      <x:c r="N5" s="14" t="str">
        <x:v>NAT Gatewayなし。</x:v>
      </x:c>
    </x:row>
    <x:row r="6" ht="56" customHeight="1">
      <x:c r="A6" s="14" t="n">
        <x:v>5</x:v>
      </x:c>
      <x:c r="B6" s="14" t="str">
        <x:v>暗号化</x:v>
      </x:c>
      <x:c r="C6" s="14" t="str">
        <x:v>S3 / RDS / state</x:v>
      </x:c>
      <x:c r="D6" s="14" t="str">
        <x:v>保存データ流出</x:v>
      </x:c>
      <x:c r="E6" s="14" t="str">
        <x:v>SSE-S3またはKMS、RDS storage_encrypted、TLS必須</x:v>
      </x:c>
      <x:c r="F6" s="55" t="str">
        <x:v>必須</x:v>
      </x:c>
      <x:c r="G6" s="14" t="str">
        <x:v>CMK導入を検討</x:v>
      </x:c>
      <x:c r="H6" s="14" t="str">
        <x:v>Terraformの暗号化resourceとbucket policy</x:v>
      </x:c>
      <x:c r="I6" s="14" t="str">
        <x:v>Console/APIで暗号化状態とHTTP拒否を確認</x:v>
      </x:c>
      <x:c r="J6" s="14" t="str">
        <x:v>SSE-S3は低額</x:v>
      </x:c>
      <x:c r="K6" s="14" t="str">
        <x:v>四半期</x:v>
      </x:c>
      <x:c r="L6" s="14" t="str">
        <x:v>インフラ担当</x:v>
      </x:c>
      <x:c r="M6" s="55" t="str">
        <x:v>高</x:v>
      </x:c>
      <x:c r="N6" s="14" t="str">
        <x:v>初期は過剰なCMKを避ける。</x:v>
      </x:c>
    </x:row>
    <x:row r="7" ht="56" customHeight="1">
      <x:c r="A7" s="14" t="n">
        <x:v>6</x:v>
      </x:c>
      <x:c r="B7" s="14" t="str">
        <x:v>シークレット</x:v>
      </x:c>
      <x:c r="C7" s="14" t="str">
        <x:v>RDS / Secrets Manager</x:v>
      </x:c>
      <x:c r="D7" s="14" t="str">
        <x:v>DBパスワードのコード・state漏えい</x:v>
      </x:c>
      <x:c r="E7" s="14" t="str">
        <x:v>RDS manage_master_user_password、通常接続はIAM DB Auth</x:v>
      </x:c>
      <x:c r="F7" s="55" t="str">
        <x:v>必須</x:v>
      </x:c>
      <x:c r="G7" s="14" t="str">
        <x:v>rotation強化</x:v>
      </x:c>
      <x:c r="H7" s="14" t="str">
        <x:v>secret値をdata/outputへ露出せずRoleで参照</x:v>
      </x:c>
      <x:c r="I7" s="14" t="str">
        <x:v>repo検索、state access、IAM token接続テスト</x:v>
      </x:c>
      <x:c r="J7" s="14" t="str">
        <x:v>1 secret約64円/月</x:v>
      </x:c>
      <x:c r="K7" s="14" t="str">
        <x:v>月次</x:v>
      </x:c>
      <x:c r="L7" s="14" t="str">
        <x:v>インフラ担当</x:v>
      </x:c>
      <x:c r="M7" s="55" t="str">
        <x:v>高</x:v>
      </x:c>
      <x:c r="N7" s="14" t="str">
        <x:v>tfvarsへ秘密値を書かない。</x:v>
      </x:c>
    </x:row>
    <x:row r="8" ht="56" customHeight="1">
      <x:c r="A8" s="14" t="n">
        <x:v>7</x:v>
      </x:c>
      <x:c r="B8" s="14" t="str">
        <x:v>S3アクセス制御</x:v>
      </x:c>
      <x:c r="C8" s="14" t="str">
        <x:v>Amazon S3 / CloudFront</x:v>
      </x:c>
      <x:c r="D8" s="14" t="str">
        <x:v>音声・React bucketの公開</x:v>
      </x:c>
      <x:c r="E8" s="14" t="str">
        <x:v>Block Public Access、OAC、署名付きURL、prefix限定</x:v>
      </x:c>
      <x:c r="F8" s="55" t="str">
        <x:v>必須</x:v>
      </x:c>
      <x:c r="G8" s="14" t="str">
        <x:v>CloudFront Signed Cookie</x:v>
      </x:c>
      <x:c r="H8" s="14" t="str">
        <x:v>bucket policy、OAC、presigned URL API</x:v>
      </x:c>
      <x:c r="I8" s="14" t="str">
        <x:v>匿名GET拒否、期限切れURL拒否、別prefix拒否</x:v>
      </x:c>
      <x:c r="J8" s="14" t="str">
        <x:v>低</x:v>
      </x:c>
      <x:c r="K8" s="14" t="str">
        <x:v>リリース毎</x:v>
      </x:c>
      <x:c r="L8" s="14" t="str">
        <x:v>アプリ/インフラ</x:v>
      </x:c>
      <x:c r="M8" s="55" t="str">
        <x:v>最優先</x:v>
      </x:c>
      <x:c r="N8" s="14" t="str">
        <x:v>署名URLはBearer Tokenとして扱う。</x:v>
      </x:c>
    </x:row>
    <x:row r="9" ht="56" customHeight="1">
      <x:c r="A9" s="14" t="n">
        <x:v>8</x:v>
      </x:c>
      <x:c r="B9" s="14" t="str">
        <x:v>Terraform state</x:v>
      </x:c>
      <x:c r="C9" s="14" t="str">
        <x:v>Amazon S3 backend</x:v>
      </x:c>
      <x:c r="D9" s="14" t="str">
        <x:v>state内機密情報と同時更新破損</x:v>
      </x:c>
      <x:c r="E9" s="14" t="str">
        <x:v>専用bucket、暗号化、Versioning、use_lockfile=true、IAM限定</x:v>
      </x:c>
      <x:c r="F9" s="55" t="str">
        <x:v>必須</x:v>
      </x:c>
      <x:c r="G9" s="14" t="str">
        <x:v>SSE-KMS/監査強化</x:v>
      </x:c>
      <x:c r="H9" s="14" t="str">
        <x:v>bootstrap stackとbackend.hcl</x:v>
      </x:c>
      <x:c r="I9" s="14" t="str">
        <x:v>別RoleからAccessDenied、同時planでlock確認</x:v>
      </x:c>
      <x:c r="J9" s="14" t="str">
        <x:v>少額S3料金</x:v>
      </x:c>
      <x:c r="K9" s="14" t="str">
        <x:v>月次・変更時</x:v>
      </x:c>
      <x:c r="L9" s="14" t="str">
        <x:v>インフラ担当</x:v>
      </x:c>
      <x:c r="M9" s="55" t="str">
        <x:v>最優先</x:v>
      </x:c>
      <x:c r="N9" s="14" t="str">
        <x:v>DynamoDB lockは新規採用しない。</x:v>
      </x:c>
    </x:row>
    <x:row r="10" ht="56" customHeight="1">
      <x:c r="A10" s="14" t="n">
        <x:v>9</x:v>
      </x:c>
      <x:c r="B10" s="14" t="str">
        <x:v>ログ</x:v>
      </x:c>
      <x:c r="C10" s="14" t="str">
        <x:v>Amazon CloudWatch</x:v>
      </x:c>
      <x:c r="D10" s="14" t="str">
        <x:v>JWT・署名URL・個人情報の記録</x:v>
      </x:c>
      <x:c r="E10" s="14" t="str">
        <x:v>構造化ログ、redaction、DEBUG無効、保持14～30日</x:v>
      </x:c>
      <x:c r="F10" s="55" t="str">
        <x:v>必須</x:v>
      </x:c>
      <x:c r="G10" s="14" t="str">
        <x:v>ログ集約・長期保管</x:v>
      </x:c>
      <x:c r="H10" s="14" t="str">
        <x:v>Logback filterとTerraform log group</x:v>
      </x:c>
      <x:c r="I10" s="14" t="str">
        <x:v>ログサンプルレビュー、retention確認</x:v>
      </x:c>
      <x:c r="J10" s="14" t="str">
        <x:v>取込量比例</x:v>
      </x:c>
      <x:c r="K10" s="14" t="str">
        <x:v>週次/月次</x:v>
      </x:c>
      <x:c r="L10" s="14" t="str">
        <x:v>アプリ担当</x:v>
      </x:c>
      <x:c r="M10" s="55" t="str">
        <x:v>高</x:v>
      </x:c>
      <x:c r="N10" s="14" t="str">
        <x:v>リクエストbody全文を出さない。</x:v>
      </x:c>
    </x:row>
    <x:row r="11" ht="56" customHeight="1">
      <x:c r="A11" s="14" t="n">
        <x:v>10</x:v>
      </x:c>
      <x:c r="B11" s="14" t="str">
        <x:v>監視</x:v>
      </x:c>
      <x:c r="C11" s="14" t="str">
        <x:v>Lambda / API Gateway / SQS / RDS</x:v>
      </x:c>
      <x:c r="D11" s="14" t="str">
        <x:v>障害・滞留・性能低下の見逃し</x:v>
      </x:c>
      <x:c r="E11" s="14" t="str">
        <x:v>Error、5XX、Duration、DLQ、Age、DB接続数のAlarm</x:v>
      </x:c>
      <x:c r="F11" s="55" t="str">
        <x:v>必須</x:v>
      </x:c>
      <x:c r="G11" s="14" t="str">
        <x:v>SLO/ダッシュボード</x:v>
      </x:c>
      <x:c r="H11" s="14" t="str">
        <x:v>CloudWatch Alarm + SNS</x:v>
      </x:c>
      <x:c r="I11" s="14" t="str">
        <x:v>意図的エラーで通知テスト</x:v>
      </x:c>
      <x:c r="J11" s="14" t="str">
        <x:v>Alarm/Logs</x:v>
      </x:c>
      <x:c r="K11" s="14" t="str">
        <x:v>月次・リリース時</x:v>
      </x:c>
      <x:c r="L11" s="14" t="str">
        <x:v>インフラ担当</x:v>
      </x:c>
      <x:c r="M11" s="55" t="str">
        <x:v>高</x:v>
      </x:c>
      <x:c r="N11" s="14" t="str">
        <x:v>通知疲れを避け閾値を調整。</x:v>
      </x:c>
    </x:row>
    <x:row r="12" ht="56" customHeight="1">
      <x:c r="A12" s="14" t="n">
        <x:v>11</x:v>
      </x:c>
      <x:c r="B12" s="14" t="str">
        <x:v>コスト監視</x:v>
      </x:c>
      <x:c r="C12" s="14" t="str">
        <x:v>Billing / AWS Budgets</x:v>
      </x:c>
      <x:c r="D12" s="14" t="str">
        <x:v>不正利用・停止忘れによる超過</x:v>
      </x:c>
      <x:c r="E12" s="14" t="str">
        <x:v>4千・6千・8千円相当の通知、Cost Explorer月次確認</x:v>
      </x:c>
      <x:c r="F12" s="55" t="str">
        <x:v>必須</x:v>
      </x:c>
      <x:c r="G12" s="14" t="str">
        <x:v>Budget Action</x:v>
      </x:c>
      <x:c r="H12" s="14" t="str">
        <x:v>Budget Terraform + Scheduler</x:v>
      </x:c>
      <x:c r="I12" s="14" t="str">
        <x:v>通知テスト、月次サービス別費用確認</x:v>
      </x:c>
      <x:c r="J12" s="14" t="str">
        <x:v>通常0円</x:v>
      </x:c>
      <x:c r="K12" s="14" t="str">
        <x:v>週次/月次</x:v>
      </x:c>
      <x:c r="L12" s="14" t="str">
        <x:v>インフラ担当</x:v>
      </x:c>
      <x:c r="M12" s="55" t="str">
        <x:v>最優先</x:v>
      </x:c>
      <x:c r="N12" s="14" t="str">
        <x:v>RDSと転送費を優先確認。</x:v>
      </x:c>
    </x:row>
    <x:row r="13" ht="56" customHeight="1">
      <x:c r="A13" s="14" t="n">
        <x:v>12</x:v>
      </x:c>
      <x:c r="B13" s="14" t="str">
        <x:v>バックアップ</x:v>
      </x:c>
      <x:c r="C13" s="14" t="str">
        <x:v>Amazon RDS / S3</x:v>
      </x:c>
      <x:c r="D13" s="14" t="str">
        <x:v>誤削除・障害でデータ喪失</x:v>
      </x:c>
      <x:c r="E13" s="14" t="str">
        <x:v>RDS 7日自動backup、最終snapshot、S3 version/lifecycle</x:v>
      </x:c>
      <x:c r="F13" s="55" t="str">
        <x:v>必須</x:v>
      </x:c>
      <x:c r="G13" s="14" t="str">
        <x:v>AWS Backup、cross-region</x:v>
      </x:c>
      <x:c r="H13" s="14" t="str">
        <x:v>RDS backup設定とS3 lifecycle</x:v>
      </x:c>
      <x:c r="I13" s="14" t="str">
        <x:v>定期restore試験、RPO確認</x:v>
      </x:c>
      <x:c r="J13" s="14" t="str">
        <x:v>保存量比例</x:v>
      </x:c>
      <x:c r="K13" s="14" t="str">
        <x:v>四半期</x:v>
      </x:c>
      <x:c r="L13" s="14" t="str">
        <x:v>インフラ担当</x:v>
      </x:c>
      <x:c r="M13" s="55" t="str">
        <x:v>高</x:v>
      </x:c>
      <x:c r="N13" s="14" t="str">
        <x:v>開発RTO/RPOは各24時間仮定。</x:v>
      </x:c>
    </x:row>
    <x:row r="14" ht="56" customHeight="1">
      <x:c r="A14" s="14" t="n">
        <x:v>13</x:v>
      </x:c>
      <x:c r="B14" s="14" t="str">
        <x:v>障害対応</x:v>
      </x:c>
      <x:c r="C14" s="14" t="str">
        <x:v>SQS / Lambda / RDS</x:v>
      </x:c>
      <x:c r="D14" s="14" t="str">
        <x:v>音声処理失敗、DB停止</x:v>
      </x:c>
      <x:c r="E14" s="14" t="str">
        <x:v>DLQ、再実行Runbook、メンテナンス応答、復旧手順</x:v>
      </x:c>
      <x:c r="F14" s="55" t="str">
        <x:v>必須</x:v>
      </x:c>
      <x:c r="G14" s="14" t="str">
        <x:v>自動re-drive/Step Functions</x:v>
      </x:c>
      <x:c r="H14" s="14" t="str">
        <x:v>operation-runbook.mdとAlarm</x:v>
      </x:c>
      <x:c r="I14" s="14" t="str">
        <x:v>DLQ強制移送、RDS restore訓練</x:v>
      </x:c>
      <x:c r="J14" s="14" t="str">
        <x:v>低～中</x:v>
      </x:c>
      <x:c r="K14" s="14" t="str">
        <x:v>四半期・障害時</x:v>
      </x:c>
      <x:c r="L14" s="14" t="str">
        <x:v>アプリ/インフラ</x:v>
      </x:c>
      <x:c r="M14" s="55" t="str">
        <x:v>高</x:v>
      </x:c>
      <x:c r="N14" s="14" t="str">
        <x:v>ジョブは冪等にする。</x:v>
      </x:c>
    </x:row>
    <x:row r="15" ht="56" customHeight="1">
      <x:c r="A15" s="14" t="n">
        <x:v>14</x:v>
      </x:c>
      <x:c r="B15" s="14" t="str">
        <x:v>脆弱性対応</x:v>
      </x:c>
      <x:c r="C15" s="14" t="str">
        <x:v>Java / Gradle / Terraform</x:v>
      </x:c>
      <x:c r="D15" s="14" t="str">
        <x:v>依存ライブラリ・Providerの脆弱性</x:v>
      </x:c>
      <x:c r="E15" s="14" t="str">
        <x:v>Dependabot/Renovate、Trivy/Checkov、更新専用PR</x:v>
      </x:c>
      <x:c r="F15" s="55" t="str">
        <x:v>必須</x:v>
      </x:c>
      <x:c r="G15" s="14" t="str">
        <x:v>SBOM・署名</x:v>
      </x:c>
      <x:c r="H15" s="14" t="str">
        <x:v>CIで静的チェックと依存更新</x:v>
      </x:c>
      <x:c r="I15" s="14" t="str">
        <x:v>CI failureと脆弱性レポート</x:v>
      </x:c>
      <x:c r="J15" s="14" t="str">
        <x:v>CI利用量</x:v>
      </x:c>
      <x:c r="K15" s="14" t="str">
        <x:v>PR毎・月次</x:v>
      </x:c>
      <x:c r="L15" s="14" t="str">
        <x:v>アプリ/インフラ</x:v>
      </x:c>
      <x:c r="M15" s="55" t="str">
        <x:v>高</x:v>
      </x:c>
      <x:c r="N15" s="14" t="str">
        <x:v>Java 25互換性も同時確認。</x:v>
      </x:c>
    </x:row>
    <x:row r="16" ht="56" customHeight="1">
      <x:c r="A16" s="14" t="n">
        <x:v>15</x:v>
      </x:c>
      <x:c r="B16" s="14" t="str">
        <x:v>データ保護</x:v>
      </x:c>
      <x:c r="C16" s="14" t="str">
        <x:v>S3 / RDS</x:v>
      </x:c>
      <x:c r="D16" s="14" t="str">
        <x:v>音声・メタデータの誤削除、孤立</x:v>
      </x:c>
      <x:c r="E16" s="14" t="str">
        <x:v>DB transaction、削除ジョブ、S3 object key管理、定期照合</x:v>
      </x:c>
      <x:c r="F16" s="55" t="str">
        <x:v>必須</x:v>
      </x:c>
      <x:c r="G16" s="14" t="str">
        <x:v>Object Lock検討</x:v>
      </x:c>
      <x:c r="H16" s="14" t="str">
        <x:v>audio_assetsとS3 keyを一意管理</x:v>
      </x:c>
      <x:c r="I16" s="14" t="str">
        <x:v>DBとS3の差分検査</x:v>
      </x:c>
      <x:c r="J16" s="14" t="str">
        <x:v>S3/処理費</x:v>
      </x:c>
      <x:c r="K16" s="14" t="str">
        <x:v>月次</x:v>
      </x:c>
      <x:c r="L16" s="14" t="str">
        <x:v>アプリ担当</x:v>
      </x:c>
      <x:c r="M16" s="55" t="str">
        <x:v>高</x:v>
      </x:c>
      <x:c r="N16" s="14" t="str">
        <x:v>署名URLそのものはDB保存しない。</x:v>
      </x:c>
    </x:row>
    <x:row r="17" ht="56" customHeight="1">
      <x:c r="A17" s="14" t="n">
        <x:v>16</x:v>
      </x:c>
      <x:c r="B17" s="14" t="str">
        <x:v>不正利用対策</x:v>
      </x:c>
      <x:c r="C17" s="14" t="str">
        <x:v>API Gateway / Lambda / S3</x:v>
      </x:c>
      <x:c r="D17" s="14" t="str">
        <x:v>大量API・アップロードで費用増</x:v>
      </x:c>
      <x:c r="E17" s="14" t="str">
        <x:v>Throttle、reserved concurrency、サイズ上限、ユーザーquota</x:v>
      </x:c>
      <x:c r="F17" s="55" t="str">
        <x:v>必須</x:v>
      </x:c>
      <x:c r="G17" s="14" t="str">
        <x:v>AWS WAF</x:v>
      </x:c>
      <x:c r="H17" s="14" t="str">
        <x:v>HTTP API settings、Lambda concurrency、API validation</x:v>
      </x:c>
      <x:c r="I17" s="14" t="str">
        <x:v>負荷試験、上限超過拒否、429確認</x:v>
      </x:c>
      <x:c r="J17" s="14" t="str">
        <x:v>低</x:v>
      </x:c>
      <x:c r="K17" s="14" t="str">
        <x:v>リリース時・月次</x:v>
      </x:c>
      <x:c r="L17" s="14" t="str">
        <x:v>アプリ/インフラ</x:v>
      </x:c>
      <x:c r="M17" s="55" t="str">
        <x:v>最優先</x:v>
      </x:c>
      <x:c r="N17" s="14" t="str">
        <x:v>WAFは公開状況で条件付き。</x:v>
      </x:c>
    </x:row>
    <x:row r="18" ht="56" customHeight="1">
      <x:c r="A18" s="14" t="n">
        <x:v>17</x:v>
      </x:c>
      <x:c r="B18" s="14" t="str">
        <x:v>大容量Upload</x:v>
      </x:c>
      <x:c r="C18" s="14" t="str">
        <x:v>Amazon S3</x:v>
      </x:c>
      <x:c r="D18" s="14" t="str">
        <x:v>未完了Multipartによる残存課金</x:v>
      </x:c>
      <x:c r="E18" s="14" t="str">
        <x:v>1日後abort lifecycle、client abort処理</x:v>
      </x:c>
      <x:c r="F18" s="55" t="str">
        <x:v>必須</x:v>
      </x:c>
      <x:c r="G18" s="14" t="str">
        <x:v>upload session管理強化</x:v>
      </x:c>
      <x:c r="H18" s="14" t="str">
        <x:v>S3 lifecycleとAPI upload state</x:v>
      </x:c>
      <x:c r="I18" s="14" t="str">
        <x:v>未完了uploadを作りlifecycle設定確認</x:v>
      </x:c>
      <x:c r="J18" s="14" t="str">
        <x:v>S3保存量</x:v>
      </x:c>
      <x:c r="K18" s="14" t="str">
        <x:v>月次</x:v>
      </x:c>
      <x:c r="L18" s="14" t="str">
        <x:v>アプリ/インフラ</x:v>
      </x:c>
      <x:c r="M18" s="55" t="str">
        <x:v>高</x:v>
      </x:c>
      <x:c r="N18" s="14" t="str">
        <x:v>100MB以上をMultipart目安。</x:v>
      </x:c>
    </x:row>
    <x:row r="19" ht="56" customHeight="1">
      <x:c r="A19" s="14" t="n">
        <x:v>18</x:v>
      </x:c>
      <x:c r="B19" s="14" t="str">
        <x:v>DB接続管理</x:v>
      </x:c>
      <x:c r="C19" s="14" t="str">
        <x:v>Lambda / RDS</x:v>
      </x:c>
      <x:c r="D19" s="14" t="str">
        <x:v>同時実行でDB connection枯渇</x:v>
      </x:c>
      <x:c r="E19" s="14" t="str">
        <x:v>HikariCP 2～5、API concurrency 5、Worker 2</x:v>
      </x:c>
      <x:c r="F19" s="55" t="str">
        <x:v>必須</x:v>
      </x:c>
      <x:c r="G19" s="14" t="str">
        <x:v>RDS Proxy</x:v>
      </x:c>
      <x:c r="H19" s="14" t="str">
        <x:v>Lambda settingsとapplication config</x:v>
      </x:c>
      <x:c r="I19" s="14" t="str">
        <x:v>負荷試験、DatabaseConnections監視</x:v>
      </x:c>
      <x:c r="J19" s="14" t="str">
        <x:v>0円、Proxyは有料</x:v>
      </x:c>
      <x:c r="K19" s="14" t="str">
        <x:v>リリース時</x:v>
      </x:c>
      <x:c r="L19" s="14" t="str">
        <x:v>アプリ/インフラ</x:v>
      </x:c>
      <x:c r="M19" s="55" t="str">
        <x:v>最優先</x:v>
      </x:c>
      <x:c r="N19" s="14" t="str">
        <x:v>接続問題発生後にProxy追加。</x:v>
      </x:c>
    </x:row>
    <x:row r="20" ht="56" customHeight="1">
      <x:c r="A20" s="14" t="n">
        <x:v>19</x:v>
      </x:c>
      <x:c r="B20" s="14" t="str">
        <x:v>ランタイム運用</x:v>
      </x:c>
      <x:c r="C20" s="14" t="str">
        <x:v>Lambda Java 25</x:v>
      </x:c>
      <x:c r="D20" s="14" t="str">
        <x:v>Runtime更新・依存非互換</x:v>
      </x:c>
      <x:c r="E20" s="14" t="str">
        <x:v>Java 25統合試験、Java 21 fallback、AOT cacheを同梱しない</x:v>
      </x:c>
      <x:c r="F20" s="55" t="str">
        <x:v>必須</x:v>
      </x:c>
      <x:c r="G20" s="14" t="str">
        <x:v>Runtime移行計画</x:v>
      </x:c>
      <x:c r="H20" s="14" t="str">
        <x:v>CI matrixとsmoke Lambda</x:v>
      </x:c>
      <x:c r="I20" s="14" t="str">
        <x:v>cold start、SnapStart、依存試験</x:v>
      </x:c>
      <x:c r="J20" s="14" t="str">
        <x:v>実行量比例</x:v>
      </x:c>
      <x:c r="K20" s="14" t="str">
        <x:v>月次・更新時</x:v>
      </x:c>
      <x:c r="L20" s="14" t="str">
        <x:v>アプリ担当</x:v>
      </x:c>
      <x:c r="M20" s="55" t="str">
        <x:v>高</x:v>
      </x:c>
      <x:c r="N20" s="14" t="str">
        <x:v>AWS runtime廃止日を定期確認。</x:v>
      </x:c>
    </x:row>
    <x:row r="21" ht="56" customHeight="1">
      <x:c r="A21" s="14" t="n">
        <x:v>20</x:v>
      </x:c>
      <x:c r="B21" s="14" t="str">
        <x:v>削除管理</x:v>
      </x:c>
      <x:c r="C21" s="14" t="str">
        <x:v>Terraform / 全サービス</x:v>
      </x:c>
      <x:c r="D21" s="14" t="str">
        <x:v>誤destroyと残存課金</x:v>
      </x:c>
      <x:c r="E21" s="14" t="str">
        <x:v>stack分割、Plan承認、destroy Runbook、ExpirationDate tag</x:v>
      </x:c>
      <x:c r="F21" s="55" t="str">
        <x:v>必須</x:v>
      </x:c>
      <x:c r="G21" s="14" t="str">
        <x:v>自動期限通知</x:v>
      </x:c>
      <x:c r="H21" s="14" t="str">
        <x:v>CI approvalとdocs/destroy-runbook.md</x:v>
      </x:c>
      <x:c r="I21" s="14" t="str">
        <x:v>sandbox destroy、請求画面確認</x:v>
      </x:c>
      <x:c r="J21" s="14" t="str">
        <x:v>0円</x:v>
      </x:c>
      <x:c r="K21" s="14" t="str">
        <x:v>月次・削除時</x:v>
      </x:c>
      <x:c r="L21" s="14" t="str">
        <x:v>インフラ担当</x:v>
      </x:c>
      <x:c r="M21" s="55" t="str">
        <x:v>最優先</x:v>
      </x:c>
      <x:c r="N21" s="14" t="str">
        <x:v>state backendは最後まで残す。</x:v>
      </x:c>
    </x:row>
  </x:sheetData>
  <x:pageMargins left="0.7" right="0.7" top="0.75" bottom="0.75" header="0.3" footer="0.3"/>
  <x:tableParts count="1">
    <x:tablePart xmlns:r="http://schemas.openxmlformats.org/officeDocument/2006/relationships" r:id="Rfdca3cc0a9fc41b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20" hidden="0" customWidth="1"/>
    <x:col min="4" max="4" width="34" hidden="0" customWidth="1"/>
    <x:col min="5" max="5" width="44" hidden="0" customWidth="1"/>
    <x:col min="6" max="6" width="42" hidden="0" customWidth="1"/>
    <x:col min="7" max="7" width="38" hidden="0" customWidth="1"/>
    <x:col min="8" max="8" width="38" hidden="0" customWidth="1"/>
    <x:col min="9" max="9" width="12" hidden="0" customWidth="1"/>
    <x:col min="10" max="10" width="42" hidden="0" customWidth="1"/>
    <x:col min="11" max="11" width="18" hidden="0" customWidth="1"/>
    <x:col min="12" max="12" width="34" hidden="0" customWidth="1"/>
    <x:col min="13" max="13" width="30" hidden="0" customWidth="1"/>
    <x:col min="14" max="14" width="30" hidden="0" customWidth="1"/>
    <x:col min="15" max="15" width="34" hidden="0" customWidth="1"/>
  </x:cols>
  <x:sheetData>
    <x:row r="1" ht="34" customHeight="1">
      <x:c r="A1" s="6" t="str">
        <x:v>No.</x:v>
      </x:c>
      <x:c r="B1" s="6" t="str">
        <x:v>対象サービス</x:v>
      </x:c>
      <x:c r="C1" s="6" t="str">
        <x:v>確認分類</x:v>
      </x:c>
      <x:c r="D1" s="6" t="str">
        <x:v>事前条件</x:v>
      </x:c>
      <x:c r="E1" s="6" t="str">
        <x:v>確認手順</x:v>
      </x:c>
      <x:c r="F1" s="6" t="str">
        <x:v>使用コマンド</x:v>
      </x:c>
      <x:c r="G1" s="6" t="str">
        <x:v>期待結果</x:v>
      </x:c>
      <x:c r="H1" s="6" t="str">
        <x:v>失敗時の確認点</x:v>
      </x:c>
      <x:c r="I1" s="6" t="str">
        <x:v>削除順序</x:v>
      </x:c>
      <x:c r="J1" s="6" t="str">
        <x:v>削除コマンド</x:v>
      </x:c>
      <x:c r="K1" s="6" t="str">
        <x:v>手動削除の要否</x:v>
      </x:c>
      <x:c r="L1" s="6" t="str">
        <x:v>削除後の確認</x:v>
      </x:c>
      <x:c r="M1" s="6" t="str">
        <x:v>残存課金の確認</x:v>
      </x:c>
      <x:c r="N1" s="6" t="str">
        <x:v>バックアップの扱い</x:v>
      </x:c>
      <x:c r="O1" s="6" t="str">
        <x:v>備考</x:v>
      </x:c>
    </x:row>
    <x:row r="2" ht="60" customHeight="1">
      <x:c r="A2" s="14" t="n">
        <x:v>1</x:v>
      </x:c>
      <x:c r="B2" s="14" t="str">
        <x:v>AWS Budgets</x:v>
      </x:c>
      <x:c r="C2" s="14" t="str">
        <x:v>コスト通知</x:v>
      </x:c>
      <x:c r="D2" s="14" t="str">
        <x:v>請求情報アクセスと通知先メール</x:v>
      </x:c>
      <x:c r="E2" s="14" t="str">
        <x:v>Budgetの閾値・通知先・通貨を確認。</x:v>
      </x:c>
      <x:c r="F2" s="14" t="str">
        <x:v>`aws budgets describe-budgets --account-id &lt;ACCOUNT_ID&gt;`</x:v>
      </x:c>
      <x:c r="G2" s="14" t="str">
        <x:v>BudgetがActiveで通知条件が登録済み。</x:v>
      </x:c>
      <x:c r="H2" s="14" t="str">
        <x:v>IAM、Account ID、通知先承認</x:v>
      </x:c>
      <x:c r="I2" s="14" t="str">
        <x:v>最後まで保持可</x:v>
      </x:c>
      <x:c r="J2" s="14" t="str">
        <x:v>`terraform destroy -target=aws_budgets_budget.&lt;NAME&gt;`</x:v>
      </x:c>
      <x:c r="K2" s="14" t="str">
        <x:v>原則不要</x:v>
      </x:c>
      <x:c r="L2" s="14" t="str">
        <x:v>Budget一覧または保持記録を確認</x:v>
      </x:c>
      <x:c r="M2" s="14" t="str">
        <x:v>通常通知は0円</x:v>
      </x:c>
      <x:c r="N2" s="14" t="str">
        <x:v>なし</x:v>
      </x:c>
      <x:c r="O2" s="14" t="str">
        <x:v>費用保護のため保持推奨。</x:v>
      </x:c>
    </x:row>
    <x:row r="3" ht="60" customHeight="1">
      <x:c r="A3" s="14" t="n">
        <x:v>2</x:v>
      </x:c>
      <x:c r="B3" s="14" t="str">
        <x:v>Amazon S3（state）</x:v>
      </x:c>
      <x:c r="C3" s="14" t="str">
        <x:v>リソース存在確認</x:v>
      </x:c>
      <x:c r="D3" s="14" t="str">
        <x:v>bootstrap apply済み</x:v>
      </x:c>
      <x:c r="E3" s="14" t="str">
        <x:v>Versioning、暗号化、Block Public Access、policyを確認。</x:v>
      </x:c>
      <x:c r="F3" s="14" t="str">
        <x:v>`aws s3api get-bucket-versioning --bucket &lt;STATE_BUCKET&gt;`</x:v>
      </x:c>
      <x:c r="G3" s="14" t="str">
        <x:v>Versioning=Enabled、公開禁止。</x:v>
      </x:c>
      <x:c r="H3" s="14" t="str">
        <x:v>Bucket policy、Region、名称</x:v>
      </x:c>
      <x:c r="I3" s="14" t="str">
        <x:v>最後</x:v>
      </x:c>
      <x:c r="J3" s="14" t="str">
        <x:v>原則destroyしない</x:v>
      </x:c>
      <x:c r="K3" s="14" t="str">
        <x:v>必要</x:v>
      </x:c>
      <x:c r="L3" s="14" t="str">
        <x:v>全stack stateを退避・削除済み</x:v>
      </x:c>
      <x:c r="M3" s="14" t="str">
        <x:v>object/versionの少額課金</x:v>
      </x:c>
      <x:c r="N3" s="14" t="str">
        <x:v>.tfstate versionを必要期間保持</x:v>
      </x:c>
      <x:c r="O3" s="14" t="str">
        <x:v>S3 native lockの.tflockを確認。</x:v>
      </x:c>
    </x:row>
    <x:row r="4" ht="60" customHeight="1">
      <x:c r="A4" s="14" t="n">
        <x:v>3</x:v>
      </x:c>
      <x:c r="B4" s="14" t="str">
        <x:v>Terraform state locking</x:v>
      </x:c>
      <x:c r="C4" s="14" t="str">
        <x:v>削除確認</x:v>
      </x:c>
      <x:c r="D4" s="14" t="str">
        <x:v>同じbackendを使用する2端末</x:v>
      </x:c>
      <x:c r="E4" s="14" t="str">
        <x:v>片方でlock中に他方でplanを実行。</x:v>
      </x:c>
      <x:c r="F4" s="14" t="str">
        <x:v>`terraform plan`</x:v>
      </x:c>
      <x:c r="G4" s="14" t="str">
        <x:v>後続処理がlock取得待ちまたは失敗。</x:v>
      </x:c>
      <x:c r="H4" s="14" t="str">
        <x:v>use_lockfile、IAM権限</x:v>
      </x:c>
      <x:c r="I4" s="14" t="str">
        <x:v>state bucketと同時</x:v>
      </x:c>
      <x:c r="J4" s="14" t="str">
        <x:v>別resourceなし</x:v>
      </x:c>
      <x:c r="K4" s="14" t="str">
        <x:v>不要</x:v>
      </x:c>
      <x:c r="L4" s="14" t="str">
        <x:v>.tflockが処理終了後に解放</x:v>
      </x:c>
      <x:c r="M4" s="14" t="str">
        <x:v>残存objectは僅少</x:v>
      </x:c>
      <x:c r="N4" s="14" t="str">
        <x:v>なし</x:v>
      </x:c>
      <x:c r="O4" s="14" t="str">
        <x:v>DynamoDB tableは存在しない。</x:v>
      </x:c>
    </x:row>
    <x:row r="5" ht="60" customHeight="1">
      <x:c r="A5" s="14" t="n">
        <x:v>4</x:v>
      </x:c>
      <x:c r="B5" s="14" t="str">
        <x:v>Amazon VPC</x:v>
      </x:c>
      <x:c r="C5" s="14" t="str">
        <x:v>リソース存在確認</x:v>
      </x:c>
      <x:c r="D5" s="14" t="str">
        <x:v>00-foundation apply済み</x:v>
      </x:c>
      <x:c r="E5" s="14" t="str">
        <x:v>VPC、Private Subnet、Route、SGを確認。</x:v>
      </x:c>
      <x:c r="F5" s="14" t="str">
        <x:v>`aws ec2 describe-vpcs --filters Name=tag:Project,Values=&lt;PROJECT&gt;`</x:v>
      </x:c>
      <x:c r="G5" s="14" t="str">
        <x:v>指定CIDRとタグが一致。</x:v>
      </x:c>
      <x:c r="H5" s="14" t="str">
        <x:v>Region、CIDR、tag</x:v>
      </x:c>
      <x:c r="I5" s="14" t="str">
        <x:v>Lambda/RDS削除後</x:v>
      </x:c>
      <x:c r="J5" s="14" t="str">
        <x:v>`terraform destroy`（00-foundation）</x:v>
      </x:c>
      <x:c r="K5" s="14" t="str">
        <x:v>依存ENI時は必要</x:v>
      </x:c>
      <x:c r="L5" s="14" t="str">
        <x:v>VPC/SG/Subnet/Endpointが消える</x:v>
      </x:c>
      <x:c r="M5" s="14" t="str">
        <x:v>基本機能0円</x:v>
      </x:c>
      <x:c r="N5" s="14" t="str">
        <x:v>なし</x:v>
      </x:c>
      <x:c r="O5" s="14" t="str">
        <x:v>ENI残存時はLambda/RDSを確認。</x:v>
      </x:c>
    </x:row>
    <x:row r="6" ht="60" customHeight="1">
      <x:c r="A6" s="14" t="n">
        <x:v>5</x:v>
      </x:c>
      <x:c r="B6" s="14" t="str">
        <x:v>S3 Gateway VPC Endpoint</x:v>
      </x:c>
      <x:c r="C6" s="14" t="str">
        <x:v>疎通確認</x:v>
      </x:c>
      <x:c r="D6" s="14" t="str">
        <x:v>Private LambdaとAudio bucket</x:v>
      </x:c>
      <x:c r="E6" s="14" t="str">
        <x:v>Worker LambdaからS3 HeadObjectを実行。</x:v>
      </x:c>
      <x:c r="F6" s="14" t="str">
        <x:v>`aws ec2 describe-vpc-endpoints --vpc-endpoint-ids &lt;VPCE_ID&gt;`</x:v>
      </x:c>
      <x:c r="G6" s="14" t="str">
        <x:v>NATなしでS3アクセス成功。</x:v>
      </x:c>
      <x:c r="H6" s="14" t="str">
        <x:v>Route Table、Endpoint policy</x:v>
      </x:c>
      <x:c r="I6" s="14" t="str">
        <x:v>Worker削除後</x:v>
      </x:c>
      <x:c r="J6" s="14" t="str">
        <x:v>`terraform destroy`（00-foundation）</x:v>
      </x:c>
      <x:c r="K6" s="14" t="str">
        <x:v>不要</x:v>
      </x:c>
      <x:c r="L6" s="14" t="str">
        <x:v>Endpointが消える</x:v>
      </x:c>
      <x:c r="M6" s="14" t="str">
        <x:v>0円</x:v>
      </x:c>
      <x:c r="N6" s="14" t="str">
        <x:v>なし</x:v>
      </x:c>
      <x:c r="O6" s="14" t="str">
        <x:v>Interface Endpointと混同しない。</x:v>
      </x:c>
    </x:row>
    <x:row r="7" ht="60" customHeight="1">
      <x:c r="A7" s="14" t="n">
        <x:v>6</x:v>
      </x:c>
      <x:c r="B7" s="14" t="str">
        <x:v>Amazon S3（Frontend）</x:v>
      </x:c>
      <x:c r="C7" s="14" t="str">
        <x:v>ファイルダウンロード</x:v>
      </x:c>
      <x:c r="D7" s="14" t="str">
        <x:v>test index.html配置済み</x:v>
      </x:c>
      <x:c r="E7" s="14" t="str">
        <x:v>S3 URLとCloudFront URLを比較。</x:v>
      </x:c>
      <x:c r="F7" s="14" t="str">
        <x:v>`aws s3 cp index.html s3://&lt;FRONTEND_BUCKET&gt;/index.html`</x:v>
      </x:c>
      <x:c r="G7" s="14" t="str">
        <x:v>S3匿名GET=403、CloudFront=200。</x:v>
      </x:c>
      <x:c r="H7" s="14" t="str">
        <x:v>OAC policy、object key、deploy</x:v>
      </x:c>
      <x:c r="I7" s="14" t="str">
        <x:v>CloudFront削除後</x:v>
      </x:c>
      <x:c r="J7" s="14" t="str">
        <x:v>全object/version削除後 `terraform destroy`</x:v>
      </x:c>
      <x:c r="K7" s="14" t="str">
        <x:v>必要</x:v>
      </x:c>
      <x:c r="L7" s="14" t="str">
        <x:v>bucket不存在</x:v>
      </x:c>
      <x:c r="M7" s="14" t="str">
        <x:v>object/version課金</x:v>
      </x:c>
      <x:c r="N7" s="14" t="str">
        <x:v>必要なら成果物を保存</x:v>
      </x:c>
      <x:c r="O7" s="14" t="str">
        <x:v>force_destroy=false推奨。</x:v>
      </x:c>
    </x:row>
    <x:row r="8" ht="60" customHeight="1">
      <x:c r="A8" s="14" t="n">
        <x:v>7</x:v>
      </x:c>
      <x:c r="B8" s="14" t="str">
        <x:v>Amazon S3（Audio）</x:v>
      </x:c>
      <x:c r="C8" s="14" t="str">
        <x:v>ファイルアップロード</x:v>
      </x:c>
      <x:c r="D8" s="14" t="str">
        <x:v>署名URL APIまたはCLI権限</x:v>
      </x:c>
      <x:c r="E8" s="14" t="str">
        <x:v>許可prefixへuploadし別prefixと匿名GETを試す。</x:v>
      </x:c>
      <x:c r="F8" s="14" t="str">
        <x:v>`curl -X PUT --upload-file sample.wav '&lt;PRESIGNED_URL&gt;'`</x:v>
      </x:c>
      <x:c r="G8" s="14" t="str">
        <x:v>許可upload成功、別key/期限切れ/匿名GET失敗。</x:v>
      </x:c>
      <x:c r="H8" s="14" t="str">
        <x:v>CORS、署名header、期限、IAM prefix</x:v>
      </x:c>
      <x:c r="I8" s="14" t="str">
        <x:v>通知・Worker削除後</x:v>
      </x:c>
      <x:c r="J8" s="14" t="str">
        <x:v>全version/multipart削除後 `terraform destroy`</x:v>
      </x:c>
      <x:c r="K8" s="14" t="str">
        <x:v>必要</x:v>
      </x:c>
      <x:c r="L8" s="14" t="str">
        <x:v>bucketと未完了Multipartがない</x:v>
      </x:c>
      <x:c r="M8" s="14" t="str">
        <x:v>残object/version/multipart</x:v>
      </x:c>
      <x:c r="N8" s="14" t="str">
        <x:v>必要fileを退避</x:v>
      </x:c>
      <x:c r="O8" s="14" t="str">
        <x:v>lifecycle abort設定確認。</x:v>
      </x:c>
    </x:row>
    <x:row r="9" ht="60" customHeight="1">
      <x:c r="A9" s="14" t="n">
        <x:v>8</x:v>
      </x:c>
      <x:c r="B9" s="14" t="str">
        <x:v>Amazon SQS</x:v>
      </x:c>
      <x:c r="C9" s="14" t="str">
        <x:v>非同期処理</x:v>
      </x:c>
      <x:c r="D9" s="14" t="str">
        <x:v>Main Queue/DLQ作成済み</x:v>
      </x:c>
      <x:c r="E9" s="14" t="str">
        <x:v>test messageを送受信し失敗でDLQへ移送。</x:v>
      </x:c>
      <x:c r="F9" s="14" t="str">
        <x:v>`aws sqs send-message --queue-url &lt;URL&gt; --message-body '{}'`</x:v>
      </x:c>
      <x:c r="G9" s="14" t="str">
        <x:v>message受信、maxReceiveCount後DLQ。</x:v>
      </x:c>
      <x:c r="H9" s="14" t="str">
        <x:v>Queue URL、visibility、redrive policy</x:v>
      </x:c>
      <x:c r="I9" s="14" t="str">
        <x:v>Worker mapping削除後</x:v>
      </x:c>
      <x:c r="J9" s="14" t="str">
        <x:v>`terraform destroy`（10-storage-queue）</x:v>
      </x:c>
      <x:c r="K9" s="14" t="str">
        <x:v>残message確認</x:v>
      </x:c>
      <x:c r="L9" s="14" t="str">
        <x:v>Queue一覧から消える</x:v>
      </x:c>
      <x:c r="M9" s="14" t="str">
        <x:v>通常残存なし</x:v>
      </x:c>
      <x:c r="N9" s="14" t="str">
        <x:v>未処理内容を記録</x:v>
      </x:c>
      <x:c r="O9" s="14" t="str">
        <x:v>purgeは取消不能。</x:v>
      </x:c>
    </x:row>
    <x:row r="10" ht="60" customHeight="1">
      <x:c r="A10" s="14" t="n">
        <x:v>9</x:v>
      </x:c>
      <x:c r="B10" s="14" t="str">
        <x:v>AWS Lambda（Java 25 smoke）</x:v>
      </x:c>
      <x:c r="C10" s="14" t="str">
        <x:v>疎通確認</x:v>
      </x:c>
      <x:c r="D10" s="14" t="str">
        <x:v>Java 25 JARとfunction</x:v>
      </x:c>
      <x:c r="E10" s="14" t="str">
        <x:v>CLI invokeしpayloadとLogsを確認。</x:v>
      </x:c>
      <x:c r="F10" s="14" t="str">
        <x:v>`aws lambda invoke --function-name &lt;NAME&gt; out.json`</x:v>
      </x:c>
      <x:c r="G10" s="14" t="str">
        <x:v>StatusCode=200、期待JSON、ERRORなし。</x:v>
      </x:c>
      <x:c r="H10" s="14" t="str">
        <x:v>handler、Role、architecture、runtime</x:v>
      </x:c>
      <x:c r="I10" s="14" t="str">
        <x:v>API構築前に削除可</x:v>
      </x:c>
      <x:c r="J10" s="14" t="str">
        <x:v>`terraform destroy -target=module.lambda_smoke`</x:v>
      </x:c>
      <x:c r="K10" s="14" t="str">
        <x:v>不要</x:v>
      </x:c>
      <x:c r="L10" s="14" t="str">
        <x:v>function/log group確認</x:v>
      </x:c>
      <x:c r="M10" s="14" t="str">
        <x:v>log保存課金</x:v>
      </x:c>
      <x:c r="N10" s="14" t="str">
        <x:v>なし</x:v>
      </x:c>
      <x:c r="O10" s="14" t="str">
        <x:v>単体確認。</x:v>
      </x:c>
    </x:row>
    <x:row r="11" ht="60" customHeight="1">
      <x:c r="A11" s="14" t="n">
        <x:v>10</x:v>
      </x:c>
      <x:c r="B11" s="14" t="str">
        <x:v>Amazon Cognito</x:v>
      </x:c>
      <x:c r="C11" s="14" t="str">
        <x:v>認証確認</x:v>
      </x:c>
      <x:c r="D11" s="14" t="str">
        <x:v>test userとApp Client</x:v>
      </x:c>
      <x:c r="E11" s="14" t="str">
        <x:v>loginしてAccess Tokenを取得・decode。</x:v>
      </x:c>
      <x:c r="F11" s="14" t="str">
        <x:v>`aws cognito-idp initiate-auth ...`</x:v>
      </x:c>
      <x:c r="G11" s="14" t="str">
        <x:v>iss/aud/exp/subが期待値。</x:v>
      </x:c>
      <x:c r="H11" s="14" t="str">
        <x:v>確認状態、client secret、callback</x:v>
      </x:c>
      <x:c r="I11" s="14" t="str">
        <x:v>API削除後</x:v>
      </x:c>
      <x:c r="J11" s="14" t="str">
        <x:v>`terraform destroy`（20-auth）</x:v>
      </x:c>
      <x:c r="K11" s="14" t="str">
        <x:v>ユーザー確認必要</x:v>
      </x:c>
      <x:c r="L11" s="14" t="str">
        <x:v>Pool/Client/Domain不存在</x:v>
      </x:c>
      <x:c r="M11" s="14" t="str">
        <x:v>原則残存なし</x:v>
      </x:c>
      <x:c r="N11" s="14" t="str">
        <x:v>ユーザーexport可否を判断</x:v>
      </x:c>
      <x:c r="O11" s="14" t="str">
        <x:v>削除で復元不可。</x:v>
      </x:c>
    </x:row>
    <x:row r="12" ht="60" customHeight="1">
      <x:c r="A12" s="14" t="n">
        <x:v>11</x:v>
      </x:c>
      <x:c r="B12" s="14" t="str">
        <x:v>Amazon API Gateway</x:v>
      </x:c>
      <x:c r="C12" s="14" t="str">
        <x:v>API確認</x:v>
      </x:c>
      <x:c r="D12" s="14" t="str">
        <x:v>Cognito tokenとLambda integration</x:v>
      </x:c>
      <x:c r="E12" s="14" t="str">
        <x:v>tokenなし・無効・有効でAPIを呼ぶ。</x:v>
      </x:c>
      <x:c r="F12" s="14" t="str">
        <x:v>`curl -i -H 'Authorization: Bearer &lt;TOKEN&gt;' &lt;API_URL&gt;/projects`</x:v>
      </x:c>
      <x:c r="G12" s="14" t="str">
        <x:v>401/401/200。</x:v>
      </x:c>
      <x:c r="H12" s="14" t="str">
        <x:v>issuer、audience、route、permission、CORS</x:v>
      </x:c>
      <x:c r="I12" s="14" t="str">
        <x:v>CloudFront/API停止後</x:v>
      </x:c>
      <x:c r="J12" s="14" t="str">
        <x:v>`terraform destroy`（40-backend）</x:v>
      </x:c>
      <x:c r="K12" s="14" t="str">
        <x:v>不要</x:v>
      </x:c>
      <x:c r="L12" s="14" t="str">
        <x:v>API一覧確認</x:v>
      </x:c>
      <x:c r="M12" s="14" t="str">
        <x:v>request発生済みのみ</x:v>
      </x:c>
      <x:c r="N12" s="14" t="str">
        <x:v>なし</x:v>
      </x:c>
      <x:c r="O12" s="14" t="str">
        <x:v>HTTP APIを使用。</x:v>
      </x:c>
    </x:row>
    <x:row r="13" ht="60" customHeight="1">
      <x:c r="A13" s="14" t="n">
        <x:v>12</x:v>
      </x:c>
      <x:c r="B13" s="14" t="str">
        <x:v>Amazon RDS for PostgreSQL</x:v>
      </x:c>
      <x:c r="C13" s="14" t="str">
        <x:v>DB接続</x:v>
      </x:c>
      <x:c r="D13" s="14" t="str">
        <x:v>VPC内migration Lambda、IAM Role</x:v>
      </x:c>
      <x:c r="E13" s="14" t="str">
        <x:v>TLS + IAM tokenで接続しSELECT 1。</x:v>
      </x:c>
      <x:c r="F13" s="14" t="str">
        <x:v>`aws rds generate-db-auth-token --hostname &lt;ENDPOINT&gt; ...`</x:v>
      </x:c>
      <x:c r="G13" s="14" t="str">
        <x:v>外部接続失敗、VPC内接続成功。</x:v>
      </x:c>
      <x:c r="H13" s="14" t="str">
        <x:v>SG、Subnet、CA、DB user、rds-db:connect</x:v>
      </x:c>
      <x:c r="I13" s="14" t="str">
        <x:v>API/Worker削除後</x:v>
      </x:c>
      <x:c r="J13" s="14" t="str">
        <x:v>削除保護解除・final snapshot指定後destroy</x:v>
      </x:c>
      <x:c r="K13" s="14" t="str">
        <x:v>必要</x:v>
      </x:c>
      <x:c r="L13" s="14" t="str">
        <x:v>DB消失、snapshot存在</x:v>
      </x:c>
      <x:c r="M13" s="14" t="str">
        <x:v>snapshot/backup課金</x:v>
      </x:c>
      <x:c r="N13" s="14" t="str">
        <x:v>最終snapshotを命名</x:v>
      </x:c>
      <x:c r="O13" s="14" t="str">
        <x:v>停止でもstorage課金。</x:v>
      </x:c>
    </x:row>
    <x:row r="14" ht="60" customHeight="1">
      <x:c r="A14" s="14" t="n">
        <x:v>13</x:v>
      </x:c>
      <x:c r="B14" s="14" t="str">
        <x:v>AWS Secrets Manager</x:v>
      </x:c>
      <x:c r="C14" s="14" t="str">
        <x:v>シークレット確認</x:v>
      </x:c>
      <x:c r="D14" s="14" t="str">
        <x:v>RDS管理secret</x:v>
      </x:c>
      <x:c r="E14" s="14" t="str">
        <x:v>Role別にsecret参照可否を確認。</x:v>
      </x:c>
      <x:c r="F14" s="14" t="str">
        <x:v>`aws secretsmanager describe-secret --secret-id &lt;ARN&gt;`</x:v>
      </x:c>
      <x:c r="G14" s="14" t="str">
        <x:v>管理Roleのみ参照可能。</x:v>
      </x:c>
      <x:c r="H14" s="14" t="str">
        <x:v>resource policy、KMS、Endpoint</x:v>
      </x:c>
      <x:c r="I14" s="14" t="str">
        <x:v>RDS削除後</x:v>
      </x:c>
      <x:c r="J14" s="14" t="str">
        <x:v>削除予定を確認</x:v>
      </x:c>
      <x:c r="K14" s="14" t="str">
        <x:v>必要</x:v>
      </x:c>
      <x:c r="L14" s="14" t="str">
        <x:v>secret一覧とscheduled deletion</x:v>
      </x:c>
      <x:c r="M14" s="14" t="str">
        <x:v>削除待機中の課金確認</x:v>
      </x:c>
      <x:c r="N14" s="14" t="str">
        <x:v>復旧期間を設定</x:v>
      </x:c>
      <x:c r="O14" s="14" t="str">
        <x:v>値をログへ出さない。</x:v>
      </x:c>
    </x:row>
    <x:row r="15" ht="60" customHeight="1">
      <x:c r="A15" s="14" t="n">
        <x:v>14</x:v>
      </x:c>
      <x:c r="B15" s="14" t="str">
        <x:v>Spring Boot API Lambda</x:v>
      </x:c>
      <x:c r="C15" s="14" t="str">
        <x:v>認可確認</x:v>
      </x:c>
      <x:c r="D15" s="14" t="str">
        <x:v>RDS/Cognito/API連携済み</x:v>
      </x:c>
      <x:c r="E15" s="14" t="str">
        <x:v>ユーザーA/Bでproject CRUD。</x:v>
      </x:c>
      <x:c r="F15" s="14" t="str">
        <x:v>`curl -H 'Authorization: Bearer &lt;TOKEN_A&gt;' ...`</x:v>
      </x:c>
      <x:c r="G15" s="14" t="str">
        <x:v>AのprojectをBが取得・更新できない。</x:v>
      </x:c>
      <x:c r="H15" s="14" t="str">
        <x:v>sub、SQL where、pool、transaction</x:v>
      </x:c>
      <x:c r="I15" s="14" t="str">
        <x:v>API route停止後</x:v>
      </x:c>
      <x:c r="J15" s="14" t="str">
        <x:v>alias/permission/functionをdestroy</x:v>
      </x:c>
      <x:c r="K15" s="14" t="str">
        <x:v>不要</x:v>
      </x:c>
      <x:c r="L15" s="14" t="str">
        <x:v>Lambda/version/alias/log確認</x:v>
      </x:c>
      <x:c r="M15" s="14" t="str">
        <x:v>log、古いversion</x:v>
      </x:c>
      <x:c r="N15" s="14" t="str">
        <x:v>なし</x:v>
      </x:c>
      <x:c r="O15" s="14" t="str">
        <x:v>予約同時実行数を確認。</x:v>
      </x:c>
    </x:row>
    <x:row r="16" ht="60" customHeight="1">
      <x:c r="A16" s="14" t="n">
        <x:v>15</x:v>
      </x:c>
      <x:c r="B16" s="14" t="str">
        <x:v>S3署名付きURL</x:v>
      </x:c>
      <x:c r="C16" s="14" t="str">
        <x:v>ファイルアップロード</x:v>
      </x:c>
      <x:c r="D16" s="14" t="str">
        <x:v>Upload API実装済み</x:v>
      </x:c>
      <x:c r="E16" s="14" t="str">
        <x:v>有効期限、別key、MIME、サイズ上限を検証。</x:v>
      </x:c>
      <x:c r="F16" s="14" t="str">
        <x:v>`curl -X PUT -H 'Content-Type: audio/wav' --upload-file ...`</x:v>
      </x:c>
      <x:c r="G16" s="14" t="str">
        <x:v>許可条件だけ成功。</x:v>
      </x:c>
      <x:c r="H16" s="14" t="str">
        <x:v>署名header、CORS、clock、validation</x:v>
      </x:c>
      <x:c r="I16" s="14" t="str">
        <x:v>Worker/通知停止後</x:v>
      </x:c>
      <x:c r="J16" s="14" t="str">
        <x:v>IAM policyとAPI設定をdestroy</x:v>
      </x:c>
      <x:c r="K16" s="14" t="str">
        <x:v>test object必要</x:v>
      </x:c>
      <x:c r="L16" s="14" t="str">
        <x:v>policyとtest object不存在</x:v>
      </x:c>
      <x:c r="M16" s="14" t="str">
        <x:v>test object課金</x:v>
      </x:c>
      <x:c r="N16" s="14" t="str">
        <x:v>必要file退避</x:v>
      </x:c>
      <x:c r="O16" s="14" t="str">
        <x:v>URLを保存しない。</x:v>
      </x:c>
    </x:row>
    <x:row r="17" ht="60" customHeight="1">
      <x:c r="A17" s="14" t="n">
        <x:v>16</x:v>
      </x:c>
      <x:c r="B17" s="14" t="str">
        <x:v>S3 Event Notification</x:v>
      </x:c>
      <x:c r="C17" s="14" t="str">
        <x:v>非同期処理</x:v>
      </x:c>
      <x:c r="D17" s="14" t="str">
        <x:v>Audio S3とSQS</x:v>
      </x:c>
      <x:c r="E17" s="14" t="str">
        <x:v>uploads/へupload後Queue messageを確認。</x:v>
      </x:c>
      <x:c r="F17" s="14" t="str">
        <x:v>`aws sqs receive-message --queue-url &lt;URL&gt;`</x:v>
      </x:c>
      <x:c r="G17" s="14" t="str">
        <x:v>bucket/key/eventNameを含む。processed/では通知なし。</x:v>
      </x:c>
      <x:c r="H17" s="14" t="str">
        <x:v>Queue policy、prefix、suffix</x:v>
      </x:c>
      <x:c r="I17" s="14" t="str">
        <x:v>Worker停止後</x:v>
      </x:c>
      <x:c r="J17" s="14" t="str">
        <x:v>notificationを先に削除</x:v>
      </x:c>
      <x:c r="K17" s="14" t="str">
        <x:v>不要</x:v>
      </x:c>
      <x:c r="L17" s="14" t="str">
        <x:v>S3 notification一覧が空</x:v>
      </x:c>
      <x:c r="M17" s="14" t="str">
        <x:v>なし</x:v>
      </x:c>
      <x:c r="N17" s="14" t="str">
        <x:v>なし</x:v>
      </x:c>
      <x:c r="O17" s="14" t="str">
        <x:v>event重複を許容。</x:v>
      </x:c>
    </x:row>
    <x:row r="18" ht="60" customHeight="1">
      <x:c r="A18" s="14" t="n">
        <x:v>17</x:v>
      </x:c>
      <x:c r="B18" s="14" t="str">
        <x:v>Audio Worker Lambda</x:v>
      </x:c>
      <x:c r="C18" s="14" t="str">
        <x:v>非同期処理</x:v>
      </x:c>
      <x:c r="D18" s="14" t="str">
        <x:v>S3→SQS、RDS接続</x:v>
      </x:c>
      <x:c r="E18" s="14" t="str">
        <x:v>sample音声をuploadし出力とDB状態を確認。</x:v>
      </x:c>
      <x:c r="F18" s="14" t="str">
        <x:v>`aws lambda get-function --function-name &lt;WORKER&gt;`</x:v>
      </x:c>
      <x:c r="G18" s="14" t="str">
        <x:v>processed音声、waveform、COMPLETED。</x:v>
      </x:c>
      <x:c r="H18" s="14" t="str">
        <x:v>FFmpeg、/tmp、timeout、visibility、DLQ</x:v>
      </x:c>
      <x:c r="I18" s="14" t="str">
        <x:v>event source mappingから先</x:v>
      </x:c>
      <x:c r="J18" s="14" t="str">
        <x:v>mapping disable/delete後function destroy</x:v>
      </x:c>
      <x:c r="K18" s="14" t="str">
        <x:v>不要</x:v>
      </x:c>
      <x:c r="L18" s="14" t="str">
        <x:v>mapping/function/log確認</x:v>
      </x:c>
      <x:c r="M18" s="14" t="str">
        <x:v>log、S3 output</x:v>
      </x:c>
      <x:c r="N18" s="14" t="str">
        <x:v>変換結果保持判断</x:v>
      </x:c>
      <x:c r="O18" s="14" t="str">
        <x:v>冪等性を確認。</x:v>
      </x:c>
    </x:row>
    <x:row r="19" ht="60" customHeight="1">
      <x:c r="A19" s="14" t="n">
        <x:v>18</x:v>
      </x:c>
      <x:c r="B19" s="14" t="str">
        <x:v>Amazon CloudFront</x:v>
      </x:c>
      <x:c r="C19" s="14" t="str">
        <x:v>疎通確認</x:v>
      </x:c>
      <x:c r="D19" s="14" t="str">
        <x:v>Frontend S3とDistribution</x:v>
      </x:c>
      <x:c r="E19" s="14" t="str">
        <x:v>HTTPS表示、S3直アクセス、SPA deep link、cache確認。</x:v>
      </x:c>
      <x:c r="F19" s="14" t="str">
        <x:v>`curl -I https://&lt;DISTRIBUTION_DOMAIN&gt;/`</x:v>
      </x:c>
      <x:c r="G19" s="14" t="str">
        <x:v>CloudFront 200、S3直URL 403。</x:v>
      </x:c>
      <x:c r="H19" s="14" t="str">
        <x:v>OAC policy、deploy、invalidation</x:v>
      </x:c>
      <x:c r="I19" s="14" t="str">
        <x:v>Route 53/ACM解除後</x:v>
      </x:c>
      <x:c r="J19" s="14" t="str">
        <x:v>disable→Deployed→destroy</x:v>
      </x:c>
      <x:c r="K19" s="14" t="str">
        <x:v>待機必要</x:v>
      </x:c>
      <x:c r="L19" s="14" t="str">
        <x:v>Distribution一覧から消える</x:v>
      </x:c>
      <x:c r="M19" s="14" t="str">
        <x:v>転送済み料金、log S3</x:v>
      </x:c>
      <x:c r="N19" s="14" t="str">
        <x:v>なし</x:v>
      </x:c>
      <x:c r="O19" s="14" t="str">
        <x:v>反映待ちがある。</x:v>
      </x:c>
    </x:row>
    <x:row r="20" ht="60" customHeight="1">
      <x:c r="A20" s="14" t="n">
        <x:v>19</x:v>
      </x:c>
      <x:c r="B20" s="14" t="str">
        <x:v>AWS Certificate Manager</x:v>
      </x:c>
      <x:c r="C20" s="14" t="str">
        <x:v>認証確認</x:v>
      </x:c>
      <x:c r="D20" s="14" t="str">
        <x:v>us-east-1証明書とDNS validation</x:v>
      </x:c>
      <x:c r="E20" s="14" t="str">
        <x:v>証明書StatusとCloudFront関連付けを確認。</x:v>
      </x:c>
      <x:c r="F20" s="14" t="str">
        <x:v>`aws acm describe-certificate --region us-east-1 --certificate-arn &lt;ARN&gt;`</x:v>
      </x:c>
      <x:c r="G20" s="14" t="str">
        <x:v>Status=ISSUED、正しいSAN。</x:v>
      </x:c>
      <x:c r="H20" s="14" t="str">
        <x:v>Region、validation、in use</x:v>
      </x:c>
      <x:c r="I20" s="14" t="str">
        <x:v>CloudFront alias解除後</x:v>
      </x:c>
      <x:c r="J20" s="14" t="str">
        <x:v>`terraform destroy`（50-frontend）</x:v>
      </x:c>
      <x:c r="K20" s="14" t="str">
        <x:v>使用中は不可</x:v>
      </x:c>
      <x:c r="L20" s="14" t="str">
        <x:v>証明書一覧から消える</x:v>
      </x:c>
      <x:c r="M20" s="14" t="str">
        <x:v>通常0円</x:v>
      </x:c>
      <x:c r="N20" s="14" t="str">
        <x:v>なし</x:v>
      </x:c>
      <x:c r="O20" s="14" t="str">
        <x:v>CloudFront用はus-east-1。</x:v>
      </x:c>
    </x:row>
    <x:row r="21" ht="60" customHeight="1">
      <x:c r="A21" s="14" t="n">
        <x:v>20</x:v>
      </x:c>
      <x:c r="B21" s="14" t="str">
        <x:v>Amazon Route 53</x:v>
      </x:c>
      <x:c r="C21" s="14" t="str">
        <x:v>疎通確認</x:v>
      </x:c>
      <x:c r="D21" s="14" t="str">
        <x:v>Hosted ZoneとAlias</x:v>
      </x:c>
      <x:c r="E21" s="14" t="str">
        <x:v>dig/nslookupとHTTPSアクセス。</x:v>
      </x:c>
      <x:c r="F21" s="14" t="str">
        <x:v>`dig &lt;DOMAIN&gt;`</x:v>
      </x:c>
      <x:c r="G21" s="14" t="str">
        <x:v>CloudFrontへ解決。</x:v>
      </x:c>
      <x:c r="H21" s="14" t="str">
        <x:v>NS委任、Alias、TTL</x:v>
      </x:c>
      <x:c r="I21" s="14" t="str">
        <x:v>CloudFront/ACM解除後</x:v>
      </x:c>
      <x:c r="J21" s="14" t="str">
        <x:v>record→Zoneをdestroy</x:v>
      </x:c>
      <x:c r="K21" s="14" t="str">
        <x:v>NS確認必要</x:v>
      </x:c>
      <x:c r="L21" s="14" t="str">
        <x:v>record/Zone消失</x:v>
      </x:c>
      <x:c r="M21" s="14" t="str">
        <x:v>Hosted Zone課金</x:v>
      </x:c>
      <x:c r="N21" s="14" t="str">
        <x:v>なし</x:v>
      </x:c>
      <x:c r="O21" s="14" t="str">
        <x:v>登録ドメインは別管理。</x:v>
      </x:c>
    </x:row>
    <x:row r="22" ht="60" customHeight="1">
      <x:c r="A22" s="14" t="n">
        <x:v>21</x:v>
      </x:c>
      <x:c r="B22" s="14" t="str">
        <x:v>Amazon CloudWatch</x:v>
      </x:c>
      <x:c r="C22" s="14" t="str">
        <x:v>ログ確認</x:v>
      </x:c>
      <x:c r="D22" s="14" t="str">
        <x:v>Lambda/API/RDS稼働</x:v>
      </x:c>
      <x:c r="E22" s="14" t="str">
        <x:v>ERROR、retention、機密情報を確認。</x:v>
      </x:c>
      <x:c r="F22" s="14" t="str">
        <x:v>`aws logs describe-log-groups --log-group-name-prefix /aws/lambda/`</x:v>
      </x:c>
      <x:c r="G22" s="14" t="str">
        <x:v>保持14～30日、JWT/URL/passwordなし。</x:v>
      </x:c>
      <x:c r="H22" s="14" t="str">
        <x:v>log group自動作成、Logback</x:v>
      </x:c>
      <x:c r="I22" s="14" t="str">
        <x:v>各service削除後</x:v>
      </x:c>
      <x:c r="J22" s="14" t="str">
        <x:v>必要logをexport後削除</x:v>
      </x:c>
      <x:c r="K22" s="14" t="str">
        <x:v>場合により必要</x:v>
      </x:c>
      <x:c r="L22" s="14" t="str">
        <x:v>log group/Alarm不存在</x:v>
      </x:c>
      <x:c r="M22" s="14" t="str">
        <x:v>残log storage課金</x:v>
      </x:c>
      <x:c r="N22" s="14" t="str">
        <x:v>必要ログのみ退避</x:v>
      </x:c>
      <x:c r="O22" s="14" t="str">
        <x:v>DEBUG放置禁止。</x:v>
      </x:c>
    </x:row>
    <x:row r="23" ht="60" customHeight="1">
      <x:c r="A23" s="14" t="n">
        <x:v>22</x:v>
      </x:c>
      <x:c r="B23" s="14" t="str">
        <x:v>CloudWatch Alarm / SNS</x:v>
      </x:c>
      <x:c r="C23" s="14" t="str">
        <x:v>監視確認</x:v>
      </x:c>
      <x:c r="D23" s="14" t="str">
        <x:v>subscription確認済み</x:v>
      </x:c>
      <x:c r="E23" s="14" t="str">
        <x:v>意図的エラー・DLQでAlarmを発火。</x:v>
      </x:c>
      <x:c r="F23" s="14" t="str">
        <x:v>`aws cloudwatch describe-alarms`</x:v>
      </x:c>
      <x:c r="G23" s="14" t="str">
        <x:v>ALARM遷移と通知受信。</x:v>
      </x:c>
      <x:c r="H23" s="14" t="str">
        <x:v>dimension、period、subscription</x:v>
      </x:c>
      <x:c r="I23" s="14" t="str">
        <x:v>監視対象削除後</x:v>
      </x:c>
      <x:c r="J23" s="14" t="str">
        <x:v>`terraform destroy`（60-operations）</x:v>
      </x:c>
      <x:c r="K23" s="14" t="str">
        <x:v>不要</x:v>
      </x:c>
      <x:c r="L23" s="14" t="str">
        <x:v>Alarm/Topic確認</x:v>
      </x:c>
      <x:c r="M23" s="14" t="str">
        <x:v>通常僅少</x:v>
      </x:c>
      <x:c r="N23" s="14" t="str">
        <x:v>なし</x:v>
      </x:c>
      <x:c r="O23" s="14" t="str">
        <x:v>テスト後正常化。</x:v>
      </x:c>
    </x:row>
    <x:row r="24" ht="60" customHeight="1">
      <x:c r="A24" s="14" t="n">
        <x:v>23</x:v>
      </x:c>
      <x:c r="B24" s="14" t="str">
        <x:v>EventBridge Scheduler</x:v>
      </x:c>
      <x:c r="C24" s="14" t="str">
        <x:v>コスト通知</x:v>
      </x:c>
      <x:c r="D24" s="14" t="str">
        <x:v>RDS作成済み</x:v>
      </x:c>
      <x:c r="E24" s="14" t="str">
        <x:v>予定時刻にRDS停止処理を確認。</x:v>
      </x:c>
      <x:c r="F24" s="14" t="str">
        <x:v>`aws scheduler get-schedule --name &lt;NAME&gt;`</x:v>
      </x:c>
      <x:c r="G24" s="14" t="str">
        <x:v>RDS停止、失敗時通知。</x:v>
      </x:c>
      <x:c r="H24" s="14" t="str">
        <x:v>Timezone、Role、RDS状態</x:v>
      </x:c>
      <x:c r="I24" s="14" t="str">
        <x:v>RDS削除前</x:v>
      </x:c>
      <x:c r="J24" s="14" t="str">
        <x:v>Schedulerをdestroy</x:v>
      </x:c>
      <x:c r="K24" s="14" t="str">
        <x:v>不要</x:v>
      </x:c>
      <x:c r="L24" s="14" t="str">
        <x:v>schedule一覧から消える</x:v>
      </x:c>
      <x:c r="M24" s="14" t="str">
        <x:v>削除後は停止忘れリスク</x:v>
      </x:c>
      <x:c r="N24" s="14" t="str">
        <x:v>なし</x:v>
      </x:c>
      <x:c r="O24" s="14" t="str">
        <x:v>7日後再起動へ対応。</x:v>
      </x:c>
    </x:row>
    <x:row r="25" ht="60" customHeight="1">
      <x:c r="A25" s="14" t="n">
        <x:v>24</x:v>
      </x:c>
      <x:c r="B25" s="14" t="str">
        <x:v>AWS CloudTrail</x:v>
      </x:c>
      <x:c r="C25" s="14" t="str">
        <x:v>ログ確認</x:v>
      </x:c>
      <x:c r="D25" s="14" t="str">
        <x:v>Trailとaudit bucket</x:v>
      </x:c>
      <x:c r="E25" s="14" t="str">
        <x:v>管理操作を検索。</x:v>
      </x:c>
      <x:c r="F25" s="14" t="str">
        <x:v>`aws cloudtrail lookup-events --lookup-attributes AttributeKey=EventName,AttributeValue=TagResource`</x:v>
      </x:c>
      <x:c r="G25" s="14" t="str">
        <x:v>実行者、時刻、対象resourceを確認。</x:v>
      </x:c>
      <x:c r="H25" s="14" t="str">
        <x:v>Trail status、bucket policy</x:v>
      </x:c>
      <x:c r="I25" s="14" t="str">
        <x:v>最後付近</x:v>
      </x:c>
      <x:c r="J25" s="14" t="str">
        <x:v>Trail停止/削除、log保持判断</x:v>
      </x:c>
      <x:c r="K25" s="14" t="str">
        <x:v>log保持必要</x:v>
      </x:c>
      <x:c r="L25" s="14" t="str">
        <x:v>Trail消失、S3 logは方針通り</x:v>
      </x:c>
      <x:c r="M25" s="14" t="str">
        <x:v>audit S3保存課金</x:v>
      </x:c>
      <x:c r="N25" s="14" t="str">
        <x:v>監査期間分保持</x:v>
      </x:c>
      <x:c r="O25" s="14" t="str">
        <x:v>Data Events初期無効。</x:v>
      </x:c>
    </x:row>
    <x:row r="26" ht="60" customHeight="1">
      <x:c r="A26" s="14" t="n">
        <x:v>25</x:v>
      </x:c>
      <x:c r="B26" s="14" t="str">
        <x:v>IAM Access Analyzer</x:v>
      </x:c>
      <x:c r="C26" s="14" t="str">
        <x:v>認可確認</x:v>
      </x:c>
      <x:c r="D26" s="14" t="str">
        <x:v>External Analyzer</x:v>
      </x:c>
      <x:c r="E26" s="14" t="str">
        <x:v>Findingsを確認。</x:v>
      </x:c>
      <x:c r="F26" s="14" t="str">
        <x:v>`aws accessanalyzer list-findings-v2 --analyzer-arn &lt;ARN&gt;`</x:v>
      </x:c>
      <x:c r="G26" s="14" t="str">
        <x:v>意図しないACTIVE findingなし。</x:v>
      </x:c>
      <x:c r="H26" s="14" t="str">
        <x:v>Analyzer type/Region</x:v>
      </x:c>
      <x:c r="I26" s="14" t="str">
        <x:v>最後付近</x:v>
      </x:c>
      <x:c r="J26" s="14" t="str">
        <x:v>Analyzerをdestroy</x:v>
      </x:c>
      <x:c r="K26" s="14" t="str">
        <x:v>不要</x:v>
      </x:c>
      <x:c r="L26" s="14" t="str">
        <x:v>Analyzer一覧から消える</x:v>
      </x:c>
      <x:c r="M26" s="14" t="str">
        <x:v>無料機能中心</x:v>
      </x:c>
      <x:c r="N26" s="14" t="str">
        <x:v>なし</x:v>
      </x:c>
      <x:c r="O26" s="14" t="str">
        <x:v>対応履歴を残す。</x:v>
      </x:c>
    </x:row>
    <x:row r="27" ht="60" customHeight="1">
      <x:c r="A27" s="14" t="n">
        <x:v>26</x:v>
      </x:c>
      <x:c r="B27" s="14" t="str">
        <x:v>Amazon ECR sandbox</x:v>
      </x:c>
      <x:c r="C27" s="14" t="str">
        <x:v>削除確認</x:v>
      </x:c>
      <x:c r="D27" s="14" t="str">
        <x:v>sandbox applyとtest image</x:v>
      </x:c>
      <x:c r="E27" s="14" t="str">
        <x:v>push/pull後にimage一覧確認。</x:v>
      </x:c>
      <x:c r="F27" s="14" t="str">
        <x:v>`aws ecr list-images --repository-name &lt;REPO&gt;`</x:v>
      </x:c>
      <x:c r="G27" s="14" t="str">
        <x:v>imageが取得可能。</x:v>
      </x:c>
      <x:c r="H27" s="14" t="str">
        <x:v>Docker login、IAM</x:v>
      </x:c>
      <x:c r="I27" s="14" t="str">
        <x:v>sandbox内で最初</x:v>
      </x:c>
      <x:c r="J27" s="14" t="str">
        <x:v>全image削除後destroy</x:v>
      </x:c>
      <x:c r="K27" s="14" t="str">
        <x:v>必要</x:v>
      </x:c>
      <x:c r="L27" s="14" t="str">
        <x:v>repository不存在</x:v>
      </x:c>
      <x:c r="M27" s="14" t="str">
        <x:v>image storage課金</x:v>
      </x:c>
      <x:c r="N27" s="14" t="str">
        <x:v>なし</x:v>
      </x:c>
      <x:c r="O27" s="14" t="str">
        <x:v>本体では使用しない。</x:v>
      </x:c>
    </x:row>
    <x:row r="28" ht="60" customHeight="1">
      <x:c r="A28" s="14" t="n">
        <x:v>27</x:v>
      </x:c>
      <x:c r="B28" s="14" t="str">
        <x:v>AWS Backup sandbox</x:v>
      </x:c>
      <x:c r="C28" s="14" t="str">
        <x:v>バックアップ</x:v>
      </x:c>
      <x:c r="D28" s="14" t="str">
        <x:v>sandbox resourceとplan</x:v>
      </x:c>
      <x:c r="E28" s="14" t="str">
        <x:v>Recovery Pointとrestoreを限定確認。</x:v>
      </x:c>
      <x:c r="F28" s="14" t="str">
        <x:v>`aws backup list-recovery-points-by-backup-vault --backup-vault-name &lt;VAULT&gt;`</x:v>
      </x:c>
      <x:c r="G28" s="14" t="str">
        <x:v>Recovery Pointとrestore jobが確認できる。</x:v>
      </x:c>
      <x:c r="H28" s="14" t="str">
        <x:v>selection tag、Role、retention</x:v>
      </x:c>
      <x:c r="I28" s="14" t="str">
        <x:v>sandbox内で最後</x:v>
      </x:c>
      <x:c r="J28" s="14" t="str">
        <x:v>Recovery Point確認後destroy</x:v>
      </x:c>
      <x:c r="K28" s="14" t="str">
        <x:v>必要</x:v>
      </x:c>
      <x:c r="L28" s="14" t="str">
        <x:v>Vault/plan/point確認</x:v>
      </x:c>
      <x:c r="M28" s="14" t="str">
        <x:v>Recovery Point課金</x:v>
      </x:c>
      <x:c r="N28" s="14" t="str">
        <x:v>保持時は期限記録</x:v>
      </x:c>
      <x:c r="O28" s="14" t="str">
        <x:v>本番採用は条件付き。</x:v>
      </x:c>
    </x:row>
    <x:row r="29" ht="60" customHeight="1">
      <x:c r="A29" s="14" t="n">
        <x:v>28</x:v>
      </x:c>
      <x:c r="B29" s="14" t="str">
        <x:v>環境全体</x:v>
      </x:c>
      <x:c r="C29" s="14" t="str">
        <x:v>削除確認</x:v>
      </x:c>
      <x:c r="D29" s="14" t="str">
        <x:v>変更凍結、利用者通知、backup判断</x:v>
      </x:c>
      <x:c r="E29" s="14" t="str">
        <x:v>各stackでdestroy planを逆順レビュー。</x:v>
      </x:c>
      <x:c r="F29" s="14" t="str">
        <x:v>`terraform plan -destroy -out=destroy.tfplan`</x:v>
      </x:c>
      <x:c r="G29" s="14" t="str">
        <x:v>削除対象と保持対象がRunbook一致。</x:v>
      </x:c>
      <x:c r="H29" s="14" t="str">
        <x:v>Account/Region、共有resource</x:v>
      </x:c>
      <x:c r="I29" s="14" t="str">
        <x:v>1</x:v>
      </x:c>
      <x:c r="J29" s="14" t="str">
        <x:v>まだapplyしない</x:v>
      </x:c>
      <x:c r="K29" s="14" t="str">
        <x:v>必要</x:v>
      </x:c>
      <x:c r="L29" s="14" t="str">
        <x:v>承認記録が存在</x:v>
      </x:c>
      <x:c r="M29" s="14" t="str">
        <x:v>削除前費用を基準化</x:v>
      </x:c>
      <x:c r="N29" s="14" t="str">
        <x:v>RDS/S3/Cognito保持判断</x:v>
      </x:c>
      <x:c r="O29" s="14" t="str">
        <x:v>必ずPlanレビュー。</x:v>
      </x:c>
    </x:row>
    <x:row r="30" ht="60" customHeight="1">
      <x:c r="A30" s="14" t="n">
        <x:v>29</x:v>
      </x:c>
      <x:c r="B30" s="14" t="str">
        <x:v>Amazon RDS</x:v>
      </x:c>
      <x:c r="C30" s="14" t="str">
        <x:v>削除確認</x:v>
      </x:c>
      <x:c r="D30" s="14" t="str">
        <x:v>API/Worker停止、backup承認</x:v>
      </x:c>
      <x:c r="E30" s="14" t="str">
        <x:v>削除保護解除、最終snapshot ID設定。</x:v>
      </x:c>
      <x:c r="F30" s="14" t="str">
        <x:v>`terraform apply` → `terraform plan -destroy`</x:v>
      </x:c>
      <x:c r="G30" s="14" t="str">
        <x:v>snapshot作成後DB削除可能。</x:v>
      </x:c>
      <x:c r="H30" s="14" t="str">
        <x:v>snapshot名重複、削除保護</x:v>
      </x:c>
      <x:c r="I30" s="14" t="str">
        <x:v>2</x:v>
      </x:c>
      <x:c r="J30" s="14" t="str">
        <x:v>`terraform apply destroy.tfplan`</x:v>
      </x:c>
      <x:c r="K30" s="14" t="str">
        <x:v>必要</x:v>
      </x:c>
      <x:c r="L30" s="14" t="str">
        <x:v>DBなし、snapshot存在</x:v>
      </x:c>
      <x:c r="M30" s="14" t="str">
        <x:v>snapshot課金</x:v>
      </x:c>
      <x:c r="N30" s="14" t="str">
        <x:v>保持期限記録</x:v>
      </x:c>
      <x:c r="O30" s="14" t="str">
        <x:v>skip_final_snapshotを安易にtrueにしない。</x:v>
      </x:c>
    </x:row>
    <x:row r="31" ht="60" customHeight="1">
      <x:c r="A31" s="14" t="n">
        <x:v>30</x:v>
      </x:c>
      <x:c r="B31" s="14" t="str">
        <x:v>Amazon S3 / ECR / SQS</x:v>
      </x:c>
      <x:c r="C31" s="14" t="str">
        <x:v>削除確認</x:v>
      </x:c>
      <x:c r="D31" s="14" t="str">
        <x:v>処理停止済み</x:v>
      </x:c>
      <x:c r="E31" s="14" t="str">
        <x:v>Queue残件、ECR image、S3 version/multipartを空にする。</x:v>
      </x:c>
      <x:c r="F31" s="14" t="str">
        <x:v>`aws s3api list-object-versions ...` / `aws ecr list-images ...`</x:v>
      </x:c>
      <x:c r="G31" s="14" t="str">
        <x:v>destroy阻害データがない。</x:v>
      </x:c>
      <x:c r="H31" s="14" t="str">
        <x:v>version/delete marker、multipart</x:v>
      </x:c>
      <x:c r="I31" s="14" t="str">
        <x:v>3</x:v>
      </x:c>
      <x:c r="J31" s="14" t="str">
        <x:v>各stackで `terraform destroy`</x:v>
      </x:c>
      <x:c r="K31" s="14" t="str">
        <x:v>必要</x:v>
      </x:c>
      <x:c r="L31" s="14" t="str">
        <x:v>bucket/repo/queue不存在</x:v>
      </x:c>
      <x:c r="M31" s="14" t="str">
        <x:v>残object・image</x:v>
      </x:c>
      <x:c r="N31" s="14" t="str">
        <x:v>必要データ退避</x:v>
      </x:c>
      <x:c r="O31" s="14" t="str">
        <x:v>不可逆操作を記録。</x:v>
      </x:c>
    </x:row>
    <x:row r="32" ht="60" customHeight="1">
      <x:c r="A32" s="14" t="n">
        <x:v>31</x:v>
      </x:c>
      <x:c r="B32" s="14" t="str">
        <x:v>API Gateway / Lambda</x:v>
      </x:c>
      <x:c r="C32" s="14" t="str">
        <x:v>削除確認</x:v>
      </x:c>
      <x:c r="D32" s="14" t="str">
        <x:v>Frontend/API利用停止</x:v>
      </x:c>
      <x:c r="E32" s="14" t="str">
        <x:v>route→permission→mapping→Lambdaを逆依存で削除。</x:v>
      </x:c>
      <x:c r="F32" s="14" t="str">
        <x:v>`terraform destroy`（40-backend）</x:v>
      </x:c>
      <x:c r="G32" s="14" t="str">
        <x:v>API、function、alias、mappingが消える。</x:v>
      </x:c>
      <x:c r="H32" s="14" t="str">
        <x:v>version、ENI、log group</x:v>
      </x:c>
      <x:c r="I32" s="14" t="str">
        <x:v>4</x:v>
      </x:c>
      <x:c r="J32" s="14" t="str">
        <x:v>`terraform destroy`</x:v>
      </x:c>
      <x:c r="K32" s="14" t="str">
        <x:v>不要</x:v>
      </x:c>
      <x:c r="L32" s="14" t="str">
        <x:v>API/Lambda一覧とENI確認</x:v>
      </x:c>
      <x:c r="M32" s="14" t="str">
        <x:v>CloudWatch Logs</x:v>
      </x:c>
      <x:c r="N32" s="14" t="str">
        <x:v>なし</x:v>
      </x:c>
      <x:c r="O32" s="14" t="str">
        <x:v>DLQとeventを先に止める。</x:v>
      </x:c>
    </x:row>
    <x:row r="33" ht="60" customHeight="1">
      <x:c r="A33" s="14" t="n">
        <x:v>32</x:v>
      </x:c>
      <x:c r="B33" s="14" t="str">
        <x:v>CloudFront / ACM / Route 53</x:v>
      </x:c>
      <x:c r="C33" s="14" t="str">
        <x:v>削除確認</x:v>
      </x:c>
      <x:c r="D33" s="14" t="str">
        <x:v>代替URLまたは停止告知</x:v>
      </x:c>
      <x:c r="E33" s="14" t="str">
        <x:v>DNS解除、Distribution disable、証明書削除。</x:v>
      </x:c>
      <x:c r="F33" s="14" t="str">
        <x:v>`terraform destroy`（50-frontend）</x:v>
      </x:c>
      <x:c r="G33" s="14" t="str">
        <x:v>Distribution/record/certが消える。</x:v>
      </x:c>
      <x:c r="H33" s="14" t="str">
        <x:v>deploy待ち、certificate in use</x:v>
      </x:c>
      <x:c r="I33" s="14" t="str">
        <x:v>5</x:v>
      </x:c>
      <x:c r="J33" s="14" t="str">
        <x:v>複数回apply/destroyの場合あり</x:v>
      </x:c>
      <x:c r="K33" s="14" t="str">
        <x:v>必要</x:v>
      </x:c>
      <x:c r="L33" s="14" t="str">
        <x:v>DNSとDistribution確認</x:v>
      </x:c>
      <x:c r="M33" s="14" t="str">
        <x:v>Hosted Zone、log S3</x:v>
      </x:c>
      <x:c r="N33" s="14" t="str">
        <x:v>なし</x:v>
      </x:c>
      <x:c r="O33" s="14" t="str">
        <x:v>ドメイン登録料金は別。</x:v>
      </x:c>
    </x:row>
    <x:row r="34" ht="60" customHeight="1">
      <x:c r="A34" s="14" t="n">
        <x:v>33</x:v>
      </x:c>
      <x:c r="B34" s="14" t="str">
        <x:v>CloudWatch / CloudTrail</x:v>
      </x:c>
      <x:c r="C34" s="14" t="str">
        <x:v>削除確認</x:v>
      </x:c>
      <x:c r="D34" s="14" t="str">
        <x:v>必要log export済み</x:v>
      </x:c>
      <x:c r="E34" s="14" t="str">
        <x:v>Alarm/Scheduler/Trailを削除しlog保持判断。</x:v>
      </x:c>
      <x:c r="F34" s="14" t="str">
        <x:v>`terraform destroy`（60-operations）</x:v>
      </x:c>
      <x:c r="G34" s="14" t="str">
        <x:v>運用resourceが消え、保持対象S3のみ残る。</x:v>
      </x:c>
      <x:c r="H34" s="14" t="str">
        <x:v>SNS、audit bucket policy</x:v>
      </x:c>
      <x:c r="I34" s="14" t="str">
        <x:v>6</x:v>
      </x:c>
      <x:c r="J34" s="14" t="str">
        <x:v>`terraform destroy`</x:v>
      </x:c>
      <x:c r="K34" s="14" t="str">
        <x:v>必要</x:v>
      </x:c>
      <x:c r="L34" s="14" t="str">
        <x:v>Alarm/Trail/Scheduler確認</x:v>
      </x:c>
      <x:c r="M34" s="14" t="str">
        <x:v>Logs、audit S3</x:v>
      </x:c>
      <x:c r="N34" s="14" t="str">
        <x:v>監査log保持</x:v>
      </x:c>
      <x:c r="O34" s="14" t="str">
        <x:v>Budgetは最後まで残せる。</x:v>
      </x:c>
    </x:row>
    <x:row r="35" ht="60" customHeight="1">
      <x:c r="A35" s="14" t="n">
        <x:v>34</x:v>
      </x:c>
      <x:c r="B35" s="14" t="str">
        <x:v>Terraform state</x:v>
      </x:c>
      <x:c r="C35" s="14" t="str">
        <x:v>削除確認</x:v>
      </x:c>
      <x:c r="D35" s="14" t="str">
        <x:v>全resource削除と請求確認済み</x:v>
      </x:c>
      <x:c r="E35" s="14" t="str">
        <x:v>backend keyを一覧化し最終backup取得。</x:v>
      </x:c>
      <x:c r="F35" s="14" t="str">
        <x:v>`terraform state list` / `aws s3 cp s3://&lt;STATE_BUCKET&gt;/...`</x:v>
      </x:c>
      <x:c r="G35" s="14" t="str">
        <x:v>stateに管理resourceが残らない。</x:v>
      </x:c>
      <x:c r="H35" s="14" t="str">
        <x:v>orphan resource、別state</x:v>
      </x:c>
      <x:c r="I35" s="14" t="str">
        <x:v>7</x:v>
      </x:c>
      <x:c r="J35" s="14" t="str">
        <x:v>state objectは手動方針</x:v>
      </x:c>
      <x:c r="K35" s="14" t="str">
        <x:v>必要</x:v>
      </x:c>
      <x:c r="L35" s="14" t="str">
        <x:v>state key/versionが方針通り</x:v>
      </x:c>
      <x:c r="M35" s="14" t="str">
        <x:v>state S3少額</x:v>
      </x:c>
      <x:c r="N35" s="14" t="str">
        <x:v>暗号化して保管</x:v>
      </x:c>
      <x:c r="O35" s="14" t="str">
        <x:v>stateを先に消さない。</x:v>
      </x:c>
    </x:row>
    <x:row r="36" ht="60" customHeight="1">
      <x:c r="A36" s="14" t="n">
        <x:v>35</x:v>
      </x:c>
      <x:c r="B36" s="14" t="str">
        <x:v>state保存用S3</x:v>
      </x:c>
      <x:c r="C36" s="14" t="str">
        <x:v>削除確認</x:v>
      </x:c>
      <x:c r="D36" s="14" t="str">
        <x:v>全環境とsandbox削除済み</x:v>
      </x:c>
      <x:c r="E36" s="14" t="str">
        <x:v>Budget保持方針を決めstate bucketを判断。</x:v>
      </x:c>
      <x:c r="F36" s="14" t="str">
        <x:v>`aws s3api list-object-versions --bucket &lt;STATE_BUCKET&gt;`</x:v>
      </x:c>
      <x:c r="G36" s="14" t="str">
        <x:v>保持ならタグ/費用確認、削除なら全version消去。</x:v>
      </x:c>
      <x:c r="H36" s="14" t="str">
        <x:v>別環境state、lock object</x:v>
      </x:c>
      <x:c r="I36" s="14" t="str">
        <x:v>最後</x:v>
      </x:c>
      <x:c r="J36" s="14" t="str">
        <x:v>原則手動</x:v>
      </x:c>
      <x:c r="K36" s="14" t="str">
        <x:v>必要</x:v>
      </x:c>
      <x:c r="L36" s="14" t="str">
        <x:v>S3/Budget/請求を最終確認</x:v>
      </x:c>
      <x:c r="M36" s="14" t="str">
        <x:v>state version少額</x:v>
      </x:c>
      <x:c r="N36" s="14" t="str">
        <x:v>最終stateを暗号化保管</x:v>
      </x:c>
      <x:c r="O36" s="14" t="str">
        <x:v>通常は手動で残す。</x:v>
      </x:c>
    </x:row>
  </x:sheetData>
  <x:pageMargins left="0.7" right="0.7" top="0.75" bottom="0.75" header="0.3" footer="0.3"/>
  <x:tableParts count="1">
    <x:tablePart xmlns:r="http://schemas.openxmlformats.org/officeDocument/2006/relationships" r:id="R46a8128ff4f84de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6" hidden="0" customWidth="1"/>
    <x:col min="4" max="4" width="36" hidden="0" customWidth="1"/>
    <x:col min="5" max="5" width="55" hidden="0" customWidth="1"/>
    <x:col min="6" max="6" width="14" hidden="0" customWidth="1"/>
    <x:col min="7" max="7" width="46" hidden="0" customWidth="1"/>
    <x:col min="8" max="8" width="16" hidden="0" customWidth="1"/>
    <x:col min="9" max="9" width="16" hidden="0" customWidth="1"/>
    <x:col min="10" max="10" width="40" hidden="0" customWidth="1"/>
    <x:col min="11" max="11" width="42" hidden="0" customWidth="1"/>
    <x:col min="12" max="12" width="16" hidden="0" customWidth="1"/>
    <x:col min="13" max="13" width="28" hidden="0" customWidth="1"/>
  </x:cols>
  <x:sheetData>
    <x:row r="1" ht="34" customHeight="1">
      <x:c r="A1" s="6" t="str">
        <x:v>No.</x:v>
      </x:c>
      <x:c r="B1" s="6" t="str">
        <x:v>区分</x:v>
      </x:c>
      <x:c r="C1" s="6" t="str">
        <x:v>対象</x:v>
      </x:c>
      <x:c r="D1" s="6" t="str">
        <x:v>出典名</x:v>
      </x:c>
      <x:c r="E1" s="6" t="str">
        <x:v>URL</x:v>
      </x:c>
      <x:c r="F1" s="6" t="str">
        <x:v>参照日</x:v>
      </x:c>
      <x:c r="G1" s="6" t="str">
        <x:v>確認内容</x:v>
      </x:c>
      <x:c r="H1" s="6" t="str">
        <x:v>情報の確度</x:v>
      </x:c>
      <x:c r="I1" s="6" t="str">
        <x:v>変更可能性</x:v>
      </x:c>
      <x:c r="J1" s="6" t="str">
        <x:v>要確認事項</x:v>
      </x:c>
      <x:c r="K1" s="6" t="str">
        <x:v>対応案</x:v>
      </x:c>
      <x:c r="L1" s="6" t="str">
        <x:v>状態</x:v>
      </x:c>
      <x:c r="M1" s="6" t="str">
        <x:v>備考</x:v>
      </x:c>
    </x:row>
    <x:row r="2" ht="54" customHeight="1">
      <x:c r="A2" s="14" t="n">
        <x:v>1</x:v>
      </x:c>
      <x:c r="B2" s="14" t="str">
        <x:v>出典</x:v>
      </x:c>
      <x:c r="C2" s="14" t="str">
        <x:v>Spring Boot / Java</x:v>
      </x:c>
      <x:c r="D2" s="14" t="str">
        <x:v>Spring Boot System Requirements</x:v>
      </x:c>
      <x:c r="E2" s="14" t="e">
        <x:f>HYPERLINK("https://docs.spring.io/spring-boot/system-requirements.html","https://docs.spring.io/spring-boot/system-requirements.html")</x:f>
      </x:c>
      <x:c r="F2" s="18" t="n">
        <x:v>46224</x:v>
      </x:c>
      <x:c r="G2" s="14" t="str">
        <x:v>Spring Boot 4.1のJava互換範囲</x:v>
      </x:c>
      <x:c r="H2" s="55" t="str">
        <x:v>高</x:v>
      </x:c>
      <x:c r="I2" s="14" t="str">
        <x:v>中</x:v>
      </x:c>
      <x:c r="J2" s="14" t="str">
        <x:v>実装時の4.1.x最新パッチ</x:v>
      </x:c>
      <x:c r="K2" s="14" t="str">
        <x:v>依存ライブラリ統合試験</x:v>
      </x:c>
      <x:c r="L2" s="14" t="str">
        <x:v>確認済み</x:v>
      </x:c>
      <x:c r="M2" s="14" t="str">
        <x:v>公式</x:v>
      </x:c>
    </x:row>
    <x:row r="3" ht="54" customHeight="1">
      <x:c r="A3" s="14" t="n">
        <x:v>2</x:v>
      </x:c>
      <x:c r="B3" s="14" t="str">
        <x:v>出典</x:v>
      </x:c>
      <x:c r="C3" s="14" t="str">
        <x:v>AWS Lambda Java runtime</x:v>
      </x:c>
      <x:c r="D3" s="14" t="str">
        <x:v>Lambda runtimes</x:v>
      </x:c>
      <x:c r="E3" s="14" t="e">
        <x:f>HYPERLINK("https://docs.aws.amazon.com/lambda/latest/dg/lambda-runtimes.html","https://docs.aws.amazon.com/lambda/latest/dg/lambda-runtimes.html")</x:f>
      </x:c>
      <x:c r="F3" s="18" t="n">
        <x:v>46224</x:v>
      </x:c>
      <x:c r="G3" s="14" t="str">
        <x:v>Java 25管理runtimeとサポート期間</x:v>
      </x:c>
      <x:c r="H3" s="55" t="str">
        <x:v>高</x:v>
      </x:c>
      <x:c r="I3" s="55" t="str">
        <x:v>高</x:v>
      </x:c>
      <x:c r="J3" s="14" t="str">
        <x:v>廃止日・runtime更新</x:v>
      </x:c>
      <x:c r="K3" s="14" t="str">
        <x:v>四半期ごとに再確認</x:v>
      </x:c>
      <x:c r="L3" s="14" t="str">
        <x:v>確認済み</x:v>
      </x:c>
      <x:c r="M3" s="14" t="str">
        <x:v>公式</x:v>
      </x:c>
    </x:row>
    <x:row r="4" ht="54" customHeight="1">
      <x:c r="A4" s="14" t="n">
        <x:v>3</x:v>
      </x:c>
      <x:c r="B4" s="14" t="str">
        <x:v>出典</x:v>
      </x:c>
      <x:c r="C4" s="14" t="str">
        <x:v>AWS Lambda Java</x:v>
      </x:c>
      <x:c r="D4" s="14" t="str">
        <x:v>Lambda Java</x:v>
      </x:c>
      <x:c r="E4" s="14" t="e">
        <x:f>HYPERLINK("https://docs.aws.amazon.com/lambda/latest/dg/lambda-java.html","https://docs.aws.amazon.com/lambda/latest/dg/lambda-java.html")</x:f>
      </x:c>
      <x:c r="F4" s="18" t="n">
        <x:v>46224</x:v>
      </x:c>
      <x:c r="G4" s="14" t="str">
        <x:v>Java runtime利用方法</x:v>
      </x:c>
      <x:c r="H4" s="55" t="str">
        <x:v>高</x:v>
      </x:c>
      <x:c r="I4" s="14" t="str">
        <x:v>中</x:v>
      </x:c>
      <x:c r="J4" s="14" t="str">
        <x:v>Java 25固有注意点</x:v>
      </x:c>
      <x:c r="K4" s="14" t="str">
        <x:v>実装時に確認</x:v>
      </x:c>
      <x:c r="L4" s="14" t="str">
        <x:v>確認済み</x:v>
      </x:c>
      <x:c r="M4" s="14" t="str">
        <x:v>公式</x:v>
      </x:c>
    </x:row>
    <x:row r="5" ht="54" customHeight="1">
      <x:c r="A5" s="14" t="n">
        <x:v>4</x:v>
      </x:c>
      <x:c r="B5" s="14" t="str">
        <x:v>出典</x:v>
      </x:c>
      <x:c r="C5" s="14" t="str">
        <x:v>Lambda制限</x:v>
      </x:c>
      <x:c r="D5" s="14" t="str">
        <x:v>Lambda quotas</x:v>
      </x:c>
      <x:c r="E5" s="14" t="e">
        <x:f>HYPERLINK("https://docs.aws.amazon.com/lambda/latest/dg/gettingstarted-limits.html","https://docs.aws.amazon.com/lambda/latest/dg/gettingstarted-limits.html")</x:f>
      </x:c>
      <x:c r="F5" s="18" t="n">
        <x:v>46224</x:v>
      </x:c>
      <x:c r="G5" s="14" t="str">
        <x:v>15分、payload、memory等</x:v>
      </x:c>
      <x:c r="H5" s="55" t="str">
        <x:v>高</x:v>
      </x:c>
      <x:c r="I5" s="14" t="str">
        <x:v>低～中</x:v>
      </x:c>
      <x:c r="J5" s="14" t="str">
        <x:v>上限変更</x:v>
      </x:c>
      <x:c r="K5" s="14" t="str">
        <x:v>負荷試験と公式再確認</x:v>
      </x:c>
      <x:c r="L5" s="14" t="str">
        <x:v>確認済み</x:v>
      </x:c>
      <x:c r="M5" s="14" t="str">
        <x:v>公式</x:v>
      </x:c>
    </x:row>
    <x:row r="6" ht="54" customHeight="1">
      <x:c r="A6" s="14" t="n">
        <x:v>5</x:v>
      </x:c>
      <x:c r="B6" s="14" t="str">
        <x:v>出典</x:v>
      </x:c>
      <x:c r="C6" s="14" t="str">
        <x:v>SnapStart</x:v>
      </x:c>
      <x:c r="D6" s="14" t="str">
        <x:v>Lambda SnapStart</x:v>
      </x:c>
      <x:c r="E6" s="14" t="e">
        <x:f>HYPERLINK("https://docs.aws.amazon.com/lambda/latest/dg/snapstart.html","https://docs.aws.amazon.com/lambda/latest/dg/snapstart.html")</x:f>
      </x:c>
      <x:c r="F6" s="18" t="n">
        <x:v>46224</x:v>
      </x:c>
      <x:c r="G6" s="14" t="str">
        <x:v>Java対応、制限、料金条件</x:v>
      </x:c>
      <x:c r="H6" s="55" t="str">
        <x:v>高</x:v>
      </x:c>
      <x:c r="I6" s="14" t="str">
        <x:v>中</x:v>
      </x:c>
      <x:c r="J6" s="14" t="str">
        <x:v>Java 25とBoot 4の実測</x:v>
      </x:c>
      <x:c r="K6" s="14" t="str">
        <x:v>smoke試験</x:v>
      </x:c>
      <x:c r="L6" s="14" t="str">
        <x:v>確認済み</x:v>
      </x:c>
      <x:c r="M6" s="14" t="str">
        <x:v>公式</x:v>
      </x:c>
    </x:row>
    <x:row r="7" ht="54" customHeight="1">
      <x:c r="A7" s="14" t="n">
        <x:v>6</x:v>
      </x:c>
      <x:c r="B7" s="14" t="str">
        <x:v>出典</x:v>
      </x:c>
      <x:c r="C7" s="14" t="str">
        <x:v>Spring Boot Lambda adapter</x:v>
      </x:c>
      <x:c r="D7" s="14" t="str">
        <x:v>AWS Serverless Java Container</x:v>
      </x:c>
      <x:c r="E7" s="14" t="e">
        <x:f>HYPERLINK("https://github.com/aws/serverless-java-container","https://github.com/aws/serverless-java-container")</x:f>
      </x:c>
      <x:c r="F7" s="18" t="n">
        <x:v>46224</x:v>
      </x:c>
      <x:c r="G7" s="14" t="str">
        <x:v>Spring Boot 4対応artifact</x:v>
      </x:c>
      <x:c r="H7" s="14" t="str">
        <x:v>中～高</x:v>
      </x:c>
      <x:c r="I7" s="55" t="str">
        <x:v>高</x:v>
      </x:c>
      <x:c r="J7" s="14" t="str">
        <x:v>3.x最新versionとBoot 4.1統合</x:v>
      </x:c>
      <x:c r="K7" s="14" t="str">
        <x:v>CI統合試験</x:v>
      </x:c>
      <x:c r="L7" s="14" t="str">
        <x:v>確認済み</x:v>
      </x:c>
      <x:c r="M7" s="14" t="str">
        <x:v>AWS公式GitHub</x:v>
      </x:c>
    </x:row>
    <x:row r="8" ht="54" customHeight="1">
      <x:c r="A8" s="14" t="n">
        <x:v>7</x:v>
      </x:c>
      <x:c r="B8" s="14" t="str">
        <x:v>出典</x:v>
      </x:c>
      <x:c r="C8" s="14" t="str">
        <x:v>Spring Boot 4 quick start</x:v>
      </x:c>
      <x:c r="D8" s="14" t="str">
        <x:v>Quick start - Spring Boot4</x:v>
      </x:c>
      <x:c r="E8" s="14" t="e">
        <x:f>HYPERLINK("https://github.com/aws/serverless-java-container/wiki/Quick-start---Spring-Boot4","https://github.com/aws/serverless-java-container/wiki/Quick-start---Spring-Boot4")</x:f>
      </x:c>
      <x:c r="F8" s="18" t="n">
        <x:v>46224</x:v>
      </x:c>
      <x:c r="G8" s="14" t="str">
        <x:v>handler・依存関係・設定方法</x:v>
      </x:c>
      <x:c r="H8" s="14" t="str">
        <x:v>中～高</x:v>
      </x:c>
      <x:c r="I8" s="55" t="str">
        <x:v>高</x:v>
      </x:c>
      <x:c r="J8" s="14" t="str">
        <x:v>最新記述</x:v>
      </x:c>
      <x:c r="K8" s="14" t="str">
        <x:v>実装時確認</x:v>
      </x:c>
      <x:c r="L8" s="14" t="str">
        <x:v>確認済み</x:v>
      </x:c>
      <x:c r="M8" s="14" t="str">
        <x:v>AWS公式GitHub Wiki</x:v>
      </x:c>
    </x:row>
    <x:row r="9" ht="54" customHeight="1">
      <x:c r="A9" s="14" t="n">
        <x:v>8</x:v>
      </x:c>
      <x:c r="B9" s="14" t="str">
        <x:v>出典</x:v>
      </x:c>
      <x:c r="C9" s="14" t="str">
        <x:v>Terraform state</x:v>
      </x:c>
      <x:c r="D9" s="14" t="str">
        <x:v>Terraform S3 backend</x:v>
      </x:c>
      <x:c r="E9" s="14" t="e">
        <x:f>HYPERLINK("https://developer.hashicorp.com/terraform/language/backend/s3","https://developer.hashicorp.com/terraform/language/backend/s3")</x:f>
      </x:c>
      <x:c r="F9" s="18" t="n">
        <x:v>46224</x:v>
      </x:c>
      <x:c r="G9" s="14" t="str">
        <x:v>S3 backend、use_lockfile、DynamoDB lock非推奨</x:v>
      </x:c>
      <x:c r="H9" s="55" t="str">
        <x:v>高</x:v>
      </x:c>
      <x:c r="I9" s="14" t="str">
        <x:v>中</x:v>
      </x:c>
      <x:c r="J9" s="14" t="str">
        <x:v>Terraform 1.15での仕様</x:v>
      </x:c>
      <x:c r="K9" s="14" t="str">
        <x:v>bootstrap実装時確認</x:v>
      </x:c>
      <x:c r="L9" s="14" t="str">
        <x:v>確認済み</x:v>
      </x:c>
      <x:c r="M9" s="14" t="str">
        <x:v>HashiCorp公式</x:v>
      </x:c>
    </x:row>
    <x:row r="10" ht="54" customHeight="1">
      <x:c r="A10" s="14" t="n">
        <x:v>9</x:v>
      </x:c>
      <x:c r="B10" s="14" t="str">
        <x:v>出典</x:v>
      </x:c>
      <x:c r="C10" s="14" t="str">
        <x:v>Terraform Provider lock</x:v>
      </x:c>
      <x:c r="D10" s="14" t="str">
        <x:v>Terraform dependency lock file</x:v>
      </x:c>
      <x:c r="E10" s="14" t="e">
        <x:f>HYPERLINK("https://developer.hashicorp.com/terraform/language/files/dependency-lock","https://developer.hashicorp.com/terraform/language/files/dependency-lock")</x:f>
      </x:c>
      <x:c r="F10" s="18" t="n">
        <x:v>46224</x:v>
      </x:c>
      <x:c r="G10" s="14" t="str">
        <x:v>.terraform.lock.hcl管理</x:v>
      </x:c>
      <x:c r="H10" s="55" t="str">
        <x:v>高</x:v>
      </x:c>
      <x:c r="I10" s="14" t="str">
        <x:v>低</x:v>
      </x:c>
      <x:c r="J10" s="14" t="str">
        <x:v>なし</x:v>
      </x:c>
      <x:c r="K10" s="14" t="str">
        <x:v>Gitへcommit</x:v>
      </x:c>
      <x:c r="L10" s="14" t="str">
        <x:v>確認済み</x:v>
      </x:c>
      <x:c r="M10" s="14" t="str">
        <x:v>HashiCorp公式</x:v>
      </x:c>
    </x:row>
    <x:row r="11" ht="54" customHeight="1">
      <x:c r="A11" s="14" t="n">
        <x:v>10</x:v>
      </x:c>
      <x:c r="B11" s="14" t="str">
        <x:v>出典</x:v>
      </x:c>
      <x:c r="C11" s="14" t="str">
        <x:v>Terraform環境分離</x:v>
      </x:c>
      <x:c r="D11" s="14" t="str">
        <x:v>Terraform Workspaces</x:v>
      </x:c>
      <x:c r="E11" s="14" t="e">
        <x:f>HYPERLINK("https://developer.hashicorp.com/terraform/language/state/workspaces","https://developer.hashicorp.com/terraform/language/state/workspaces")</x:f>
      </x:c>
      <x:c r="F11" s="18" t="n">
        <x:v>46224</x:v>
      </x:c>
      <x:c r="G11" s="14" t="str">
        <x:v>Workspaceの特性</x:v>
      </x:c>
      <x:c r="H11" s="55" t="str">
        <x:v>高</x:v>
      </x:c>
      <x:c r="I11" s="14" t="str">
        <x:v>低</x:v>
      </x:c>
      <x:c r="J11" s="14" t="str">
        <x:v>プレビュー環境追加時</x:v>
      </x:c>
      <x:c r="K11" s="14" t="str">
        <x:v>環境別directoryを継続評価</x:v>
      </x:c>
      <x:c r="L11" s="14" t="str">
        <x:v>確認済み</x:v>
      </x:c>
      <x:c r="M11" s="14" t="str">
        <x:v>HashiCorp公式</x:v>
      </x:c>
    </x:row>
    <x:row r="12" ht="54" customHeight="1">
      <x:c r="A12" s="14" t="n">
        <x:v>11</x:v>
      </x:c>
      <x:c r="B12" s="14" t="str">
        <x:v>出典</x:v>
      </x:c>
      <x:c r="C12" s="14" t="str">
        <x:v>Terraform module</x:v>
      </x:c>
      <x:c r="D12" s="14" t="str">
        <x:v>Module development</x:v>
      </x:c>
      <x:c r="E12" s="14" t="e">
        <x:f>HYPERLINK("https://developer.hashicorp.com/terraform/language/modules/develop","https://developer.hashicorp.com/terraform/language/modules/develop")</x:f>
      </x:c>
      <x:c r="F12" s="18" t="n">
        <x:v>46224</x:v>
      </x:c>
      <x:c r="G12" s="14" t="str">
        <x:v>module標準構成</x:v>
      </x:c>
      <x:c r="H12" s="55" t="str">
        <x:v>高</x:v>
      </x:c>
      <x:c r="I12" s="14" t="str">
        <x:v>低</x:v>
      </x:c>
      <x:c r="J12" s="14" t="str">
        <x:v>なし</x:v>
      </x:c>
      <x:c r="K12" s="14" t="str">
        <x:v>README/variables/outputsを整備</x:v>
      </x:c>
      <x:c r="L12" s="14" t="str">
        <x:v>確認済み</x:v>
      </x:c>
      <x:c r="M12" s="14" t="str">
        <x:v>HashiCorp公式</x:v>
      </x:c>
    </x:row>
    <x:row r="13" ht="54" customHeight="1">
      <x:c r="A13" s="14" t="n">
        <x:v>12</x:v>
      </x:c>
      <x:c r="B13" s="14" t="str">
        <x:v>出典</x:v>
      </x:c>
      <x:c r="C13" s="14" t="str">
        <x:v>RDS料金</x:v>
      </x:c>
      <x:c r="D13" s="14" t="str">
        <x:v>Amazon RDS for PostgreSQL Pricing</x:v>
      </x:c>
      <x:c r="E13" s="14" t="e">
        <x:f>HYPERLINK("https://aws.amazon.com/rds/postgresql/pricing/","https://aws.amazon.com/rds/postgresql/pricing/")</x:f>
      </x:c>
      <x:c r="F13" s="18" t="n">
        <x:v>46224</x:v>
      </x:c>
      <x:c r="G13" s="14" t="str">
        <x:v>DB instance、storage、backup料金</x:v>
      </x:c>
      <x:c r="H13" s="55" t="str">
        <x:v>高</x:v>
      </x:c>
      <x:c r="I13" s="55" t="str">
        <x:v>高</x:v>
      </x:c>
      <x:c r="J13" s="14" t="str">
        <x:v>ap-northeast-1の正確な単価</x:v>
      </x:c>
      <x:c r="K13" s="14" t="str">
        <x:v>Pricing Calculatorで再計算</x:v>
      </x:c>
      <x:c r="L13" s="109" t="str">
        <x:v>要確認</x:v>
      </x:c>
      <x:c r="M13" s="14" t="str">
        <x:v>動的料金</x:v>
      </x:c>
    </x:row>
    <x:row r="14" ht="54" customHeight="1">
      <x:c r="A14" s="14" t="n">
        <x:v>13</x:v>
      </x:c>
      <x:c r="B14" s="14" t="str">
        <x:v>出典</x:v>
      </x:c>
      <x:c r="C14" s="14" t="str">
        <x:v>S3料金</x:v>
      </x:c>
      <x:c r="D14" s="14" t="str">
        <x:v>Amazon S3 Pricing</x:v>
      </x:c>
      <x:c r="E14" s="14" t="e">
        <x:f>HYPERLINK("https://aws.amazon.com/s3/pricing/","https://aws.amazon.com/s3/pricing/")</x:f>
      </x:c>
      <x:c r="F14" s="18" t="n">
        <x:v>46224</x:v>
      </x:c>
      <x:c r="G14" s="14" t="str">
        <x:v>storage、request、transfer</x:v>
      </x:c>
      <x:c r="H14" s="55" t="str">
        <x:v>高</x:v>
      </x:c>
      <x:c r="I14" s="55" t="str">
        <x:v>高</x:v>
      </x:c>
      <x:c r="J14" s="14" t="str">
        <x:v>東京単価、request tier</x:v>
      </x:c>
      <x:c r="K14" s="14" t="str">
        <x:v>実装直前に再計算</x:v>
      </x:c>
      <x:c r="L14" s="109" t="str">
        <x:v>要確認</x:v>
      </x:c>
      <x:c r="M14" s="14" t="str">
        <x:v>動的料金</x:v>
      </x:c>
    </x:row>
    <x:row r="15" ht="54" customHeight="1">
      <x:c r="A15" s="14" t="n">
        <x:v>14</x:v>
      </x:c>
      <x:c r="B15" s="14" t="str">
        <x:v>出典</x:v>
      </x:c>
      <x:c r="C15" s="14" t="str">
        <x:v>Lambda料金</x:v>
      </x:c>
      <x:c r="D15" s="14" t="str">
        <x:v>AWS Lambda Pricing</x:v>
      </x:c>
      <x:c r="E15" s="14" t="e">
        <x:f>HYPERLINK("https://aws.amazon.com/lambda/pricing/","https://aws.amazon.com/lambda/pricing/")</x:f>
      </x:c>
      <x:c r="F15" s="18" t="n">
        <x:v>46224</x:v>
      </x:c>
      <x:c r="G15" s="14" t="str">
        <x:v>GB秒、request、arm64</x:v>
      </x:c>
      <x:c r="H15" s="55" t="str">
        <x:v>高</x:v>
      </x:c>
      <x:c r="I15" s="55" t="str">
        <x:v>高</x:v>
      </x:c>
      <x:c r="J15" s="14" t="str">
        <x:v>実測処理時間とmemory</x:v>
      </x:c>
      <x:c r="K15" s="14" t="str">
        <x:v>負荷試験で更新</x:v>
      </x:c>
      <x:c r="L15" s="109" t="str">
        <x:v>要確認</x:v>
      </x:c>
      <x:c r="M15" s="14" t="str">
        <x:v>動的料金</x:v>
      </x:c>
    </x:row>
    <x:row r="16" ht="54" customHeight="1">
      <x:c r="A16" s="14" t="n">
        <x:v>15</x:v>
      </x:c>
      <x:c r="B16" s="14" t="str">
        <x:v>出典</x:v>
      </x:c>
      <x:c r="C16" s="14" t="str">
        <x:v>API Gateway料金</x:v>
      </x:c>
      <x:c r="D16" s="14" t="str">
        <x:v>Amazon API Gateway Pricing</x:v>
      </x:c>
      <x:c r="E16" s="14" t="e">
        <x:f>HYPERLINK("https://aws.amazon.com/api-gateway/pricing/","https://aws.amazon.com/api-gateway/pricing/")</x:f>
      </x:c>
      <x:c r="F16" s="18" t="n">
        <x:v>46224</x:v>
      </x:c>
      <x:c r="G16" s="14" t="str">
        <x:v>HTTP API request料金</x:v>
      </x:c>
      <x:c r="H16" s="55" t="str">
        <x:v>高</x:v>
      </x:c>
      <x:c r="I16" s="55" t="str">
        <x:v>高</x:v>
      </x:c>
      <x:c r="J16" s="14" t="str">
        <x:v>東京Regionのtier</x:v>
      </x:c>
      <x:c r="K16" s="14" t="str">
        <x:v>Pricing Calculatorで確認</x:v>
      </x:c>
      <x:c r="L16" s="109" t="str">
        <x:v>要確認</x:v>
      </x:c>
      <x:c r="M16" s="14" t="str">
        <x:v>動的料金</x:v>
      </x:c>
    </x:row>
    <x:row r="17" ht="54" customHeight="1">
      <x:c r="A17" s="14" t="n">
        <x:v>16</x:v>
      </x:c>
      <x:c r="B17" s="14" t="str">
        <x:v>出典</x:v>
      </x:c>
      <x:c r="C17" s="14" t="str">
        <x:v>Cognito料金</x:v>
      </x:c>
      <x:c r="D17" s="14" t="str">
        <x:v>Amazon Cognito Pricing</x:v>
      </x:c>
      <x:c r="E17" s="14" t="e">
        <x:f>HYPERLINK("https://aws.amazon.com/cognito/pricing/","https://aws.amazon.com/cognito/pricing/")</x:f>
      </x:c>
      <x:c r="F17" s="18" t="n">
        <x:v>46224</x:v>
      </x:c>
      <x:c r="G17" s="14" t="str">
        <x:v>MAU料金と無料枠</x:v>
      </x:c>
      <x:c r="H17" s="55" t="str">
        <x:v>高</x:v>
      </x:c>
      <x:c r="I17" s="55" t="str">
        <x:v>高</x:v>
      </x:c>
      <x:c r="J17" s="14" t="str">
        <x:v>Lite/Essentials、SMS費</x:v>
      </x:c>
      <x:c r="K17" s="14" t="str">
        <x:v>認証方式確定後に再計算</x:v>
      </x:c>
      <x:c r="L17" s="109" t="str">
        <x:v>要確認</x:v>
      </x:c>
      <x:c r="M17" s="14" t="str">
        <x:v>公式</x:v>
      </x:c>
    </x:row>
    <x:row r="18" ht="54" customHeight="1">
      <x:c r="A18" s="14" t="n">
        <x:v>17</x:v>
      </x:c>
      <x:c r="B18" s="14" t="str">
        <x:v>出典</x:v>
      </x:c>
      <x:c r="C18" s="14" t="str">
        <x:v>SQS料金</x:v>
      </x:c>
      <x:c r="D18" s="14" t="str">
        <x:v>Amazon SQS Pricing</x:v>
      </x:c>
      <x:c r="E18" s="14" t="e">
        <x:f>HYPERLINK("https://aws.amazon.com/sqs/pricing/","https://aws.amazon.com/sqs/pricing/")</x:f>
      </x:c>
      <x:c r="F18" s="18" t="n">
        <x:v>46224</x:v>
      </x:c>
      <x:c r="G18" s="14" t="str">
        <x:v>Standard request料金</x:v>
      </x:c>
      <x:c r="H18" s="55" t="str">
        <x:v>高</x:v>
      </x:c>
      <x:c r="I18" s="55" t="str">
        <x:v>高</x:v>
      </x:c>
      <x:c r="J18" s="14" t="str">
        <x:v>payloadによるrequest数</x:v>
      </x:c>
      <x:c r="K18" s="14" t="str">
        <x:v>Queue metricsで更新</x:v>
      </x:c>
      <x:c r="L18" s="14" t="str">
        <x:v>確認済み</x:v>
      </x:c>
      <x:c r="M18" s="14" t="str">
        <x:v>公式</x:v>
      </x:c>
    </x:row>
    <x:row r="19" ht="54" customHeight="1">
      <x:c r="A19" s="14" t="n">
        <x:v>18</x:v>
      </x:c>
      <x:c r="B19" s="14" t="str">
        <x:v>出典</x:v>
      </x:c>
      <x:c r="C19" s="14" t="str">
        <x:v>CloudFront料金</x:v>
      </x:c>
      <x:c r="D19" s="14" t="str">
        <x:v>CloudFront Pay-as-you-go Pricing</x:v>
      </x:c>
      <x:c r="E19" s="14" t="e">
        <x:f>HYPERLINK("https://aws.amazon.com/cloudfront/pricing/pay-as-you-go/","https://aws.amazon.com/cloudfront/pricing/pay-as-you-go/")</x:f>
      </x:c>
      <x:c r="F19" s="18" t="n">
        <x:v>46224</x:v>
      </x:c>
      <x:c r="G19" s="14" t="str">
        <x:v>転送、HTTPS request、恒久無料枠</x:v>
      </x:c>
      <x:c r="H19" s="55" t="str">
        <x:v>高</x:v>
      </x:c>
      <x:c r="I19" s="55" t="str">
        <x:v>高</x:v>
      </x:c>
      <x:c r="J19" s="14" t="str">
        <x:v>Japan転送単価、新料金plan</x:v>
      </x:c>
      <x:c r="K19" s="14" t="str">
        <x:v>実装時に再確認</x:v>
      </x:c>
      <x:c r="L19" s="109" t="str">
        <x:v>要確認</x:v>
      </x:c>
      <x:c r="M19" s="14" t="str">
        <x:v>無料枠は主計算除外</x:v>
      </x:c>
    </x:row>
    <x:row r="20" ht="54" customHeight="1">
      <x:c r="A20" s="14" t="n">
        <x:v>19</x:v>
      </x:c>
      <x:c r="B20" s="14" t="str">
        <x:v>出典</x:v>
      </x:c>
      <x:c r="C20" s="14" t="str">
        <x:v>CloudWatch料金</x:v>
      </x:c>
      <x:c r="D20" s="14" t="str">
        <x:v>Amazon CloudWatch Pricing</x:v>
      </x:c>
      <x:c r="E20" s="14" t="e">
        <x:f>HYPERLINK("https://aws.amazon.com/cloudwatch/pricing/","https://aws.amazon.com/cloudwatch/pricing/")</x:f>
      </x:c>
      <x:c r="F20" s="18" t="n">
        <x:v>46224</x:v>
      </x:c>
      <x:c r="G20" s="14" t="str">
        <x:v>Logs取込・保存、Alarm</x:v>
      </x:c>
      <x:c r="H20" s="55" t="str">
        <x:v>高</x:v>
      </x:c>
      <x:c r="I20" s="55" t="str">
        <x:v>高</x:v>
      </x:c>
      <x:c r="J20" s="14" t="str">
        <x:v>東京のLogs単価</x:v>
      </x:c>
      <x:c r="K20" s="14" t="str">
        <x:v>実装直前に再計算</x:v>
      </x:c>
      <x:c r="L20" s="109" t="str">
        <x:v>要確認</x:v>
      </x:c>
      <x:c r="M20" s="14" t="str">
        <x:v>動的料金</x:v>
      </x:c>
    </x:row>
    <x:row r="21" ht="54" customHeight="1">
      <x:c r="A21" s="14" t="n">
        <x:v>20</x:v>
      </x:c>
      <x:c r="B21" s="14" t="str">
        <x:v>出典</x:v>
      </x:c>
      <x:c r="C21" s="14" t="str">
        <x:v>Route 53料金</x:v>
      </x:c>
      <x:c r="D21" s="14" t="str">
        <x:v>Amazon Route 53 Pricing</x:v>
      </x:c>
      <x:c r="E21" s="14" t="e">
        <x:f>HYPERLINK("https://aws.amazon.com/route53/pricing/","https://aws.amazon.com/route53/pricing/")</x:f>
      </x:c>
      <x:c r="F21" s="18" t="n">
        <x:v>46224</x:v>
      </x:c>
      <x:c r="G21" s="14" t="str">
        <x:v>Hosted Zone、DNS query</x:v>
      </x:c>
      <x:c r="H21" s="55" t="str">
        <x:v>高</x:v>
      </x:c>
      <x:c r="I21" s="55" t="str">
        <x:v>高</x:v>
      </x:c>
      <x:c r="J21" s="14" t="str">
        <x:v>独自ドメイン初期導入</x:v>
      </x:c>
      <x:c r="K21" s="14" t="str">
        <x:v>要否決定後に計上</x:v>
      </x:c>
      <x:c r="L21" s="109" t="str">
        <x:v>要確認</x:v>
      </x:c>
      <x:c r="M21" s="14" t="str">
        <x:v>公式</x:v>
      </x:c>
    </x:row>
    <x:row r="22" ht="54" customHeight="1">
      <x:c r="A22" s="14" t="n">
        <x:v>21</x:v>
      </x:c>
      <x:c r="B22" s="14" t="str">
        <x:v>出典</x:v>
      </x:c>
      <x:c r="C22" s="14" t="str">
        <x:v>Backup料金</x:v>
      </x:c>
      <x:c r="D22" s="14" t="str">
        <x:v>AWS Backup Pricing</x:v>
      </x:c>
      <x:c r="E22" s="14" t="e">
        <x:f>HYPERLINK("https://aws.amazon.com/backup/pricing/","https://aws.amazon.com/backup/pricing/")</x:f>
      </x:c>
      <x:c r="F22" s="18" t="n">
        <x:v>46224</x:v>
      </x:c>
      <x:c r="G22" s="14" t="str">
        <x:v>backup storage、restore</x:v>
      </x:c>
      <x:c r="H22" s="55" t="str">
        <x:v>高</x:v>
      </x:c>
      <x:c r="I22" s="55" t="str">
        <x:v>高</x:v>
      </x:c>
      <x:c r="J22" s="14" t="str">
        <x:v>初期採用有無、保存量</x:v>
      </x:c>
      <x:c r="K22" s="14" t="str">
        <x:v>sandbox結果で判断</x:v>
      </x:c>
      <x:c r="L22" s="47" t="str">
        <x:v>判定保留</x:v>
      </x:c>
      <x:c r="M22" s="14" t="str">
        <x:v>公式</x:v>
      </x:c>
    </x:row>
    <x:row r="23" ht="54" customHeight="1">
      <x:c r="A23" s="14" t="n">
        <x:v>22</x:v>
      </x:c>
      <x:c r="B23" s="14" t="str">
        <x:v>出典</x:v>
      </x:c>
      <x:c r="C23" s="14" t="str">
        <x:v>Secrets Manager料金</x:v>
      </x:c>
      <x:c r="D23" s="14" t="str">
        <x:v>AWS Secrets Manager Pricing</x:v>
      </x:c>
      <x:c r="E23" s="14" t="e">
        <x:f>HYPERLINK("https://aws.amazon.com/secrets-manager/pricing/","https://aws.amazon.com/secrets-manager/pricing/")</x:f>
      </x:c>
      <x:c r="F23" s="18" t="n">
        <x:v>46224</x:v>
      </x:c>
      <x:c r="G23" s="14" t="str">
        <x:v>1 secret/月、API</x:v>
      </x:c>
      <x:c r="H23" s="55" t="str">
        <x:v>高</x:v>
      </x:c>
      <x:c r="I23" s="55" t="str">
        <x:v>高</x:v>
      </x:c>
      <x:c r="J23" s="14" t="str">
        <x:v>secret数</x:v>
      </x:c>
      <x:c r="K23" s="14" t="str">
        <x:v>RDS用1件に限定</x:v>
      </x:c>
      <x:c r="L23" s="14" t="str">
        <x:v>確認済み</x:v>
      </x:c>
      <x:c r="M23" s="14" t="str">
        <x:v>公式</x:v>
      </x:c>
    </x:row>
    <x:row r="24" ht="54" customHeight="1">
      <x:c r="A24" s="14" t="n">
        <x:v>23</x:v>
      </x:c>
      <x:c r="B24" s="14" t="str">
        <x:v>出典</x:v>
      </x:c>
      <x:c r="C24" s="14" t="str">
        <x:v>VPC/NAT料金</x:v>
      </x:c>
      <x:c r="D24" s="14" t="str">
        <x:v>Amazon VPC Pricing</x:v>
      </x:c>
      <x:c r="E24" s="14" t="e">
        <x:f>HYPERLINK("https://aws.amazon.com/vpc/pricing/","https://aws.amazon.com/vpc/pricing/")</x:f>
      </x:c>
      <x:c r="F24" s="18" t="n">
        <x:v>46224</x:v>
      </x:c>
      <x:c r="G24" s="14" t="str">
        <x:v>NAT Gateway時間・GB、Gateway Endpoint</x:v>
      </x:c>
      <x:c r="H24" s="55" t="str">
        <x:v>高</x:v>
      </x:c>
      <x:c r="I24" s="55" t="str">
        <x:v>高</x:v>
      </x:c>
      <x:c r="J24" s="14" t="str">
        <x:v>東京単価</x:v>
      </x:c>
      <x:c r="K24" s="14" t="str">
        <x:v>NAT不採用を維持</x:v>
      </x:c>
      <x:c r="L24" s="14" t="str">
        <x:v>確認済み</x:v>
      </x:c>
      <x:c r="M24" s="14" t="str">
        <x:v>公式</x:v>
      </x:c>
    </x:row>
    <x:row r="25" ht="54" customHeight="1">
      <x:c r="A25" s="14" t="n">
        <x:v>24</x:v>
      </x:c>
      <x:c r="B25" s="14" t="str">
        <x:v>出典</x:v>
      </x:c>
      <x:c r="C25" s="14" t="str">
        <x:v>WAF料金</x:v>
      </x:c>
      <x:c r="D25" s="14" t="str">
        <x:v>AWS WAF Pricing</x:v>
      </x:c>
      <x:c r="E25" s="14" t="e">
        <x:f>HYPERLINK("https://aws.amazon.com/waf/pricing/","https://aws.amazon.com/waf/pricing/")</x:f>
      </x:c>
      <x:c r="F25" s="18" t="n">
        <x:v>46224</x:v>
      </x:c>
      <x:c r="G25" s="14" t="str">
        <x:v>Web ACL、Rule、request料金</x:v>
      </x:c>
      <x:c r="H25" s="55" t="str">
        <x:v>高</x:v>
      </x:c>
      <x:c r="I25" s="55" t="str">
        <x:v>高</x:v>
      </x:c>
      <x:c r="J25" s="14" t="str">
        <x:v>公開後の採用条件</x:v>
      </x:c>
      <x:c r="K25" s="14" t="str">
        <x:v>Count modeと予算で判断</x:v>
      </x:c>
      <x:c r="L25" s="47" t="str">
        <x:v>判定保留</x:v>
      </x:c>
      <x:c r="M25" s="14" t="str">
        <x:v>公式</x:v>
      </x:c>
    </x:row>
    <x:row r="26" ht="54" customHeight="1">
      <x:c r="A26" s="14" t="n">
        <x:v>25</x:v>
      </x:c>
      <x:c r="B26" s="14" t="str">
        <x:v>出典</x:v>
      </x:c>
      <x:c r="C26" s="14" t="str">
        <x:v>Budgets料金</x:v>
      </x:c>
      <x:c r="D26" s="14" t="str">
        <x:v>AWS Budgets Pricing</x:v>
      </x:c>
      <x:c r="E26" s="14" t="e">
        <x:f>HYPERLINK("https://aws.amazon.com/aws-cost-management/aws-budgets/pricing/","https://aws.amazon.com/aws-cost-management/aws-budgets/pricing/")</x:f>
      </x:c>
      <x:c r="F26" s="18" t="n">
        <x:v>46224</x:v>
      </x:c>
      <x:c r="G26" s="14" t="str">
        <x:v>通常通知とAction料金</x:v>
      </x:c>
      <x:c r="H26" s="55" t="str">
        <x:v>高</x:v>
      </x:c>
      <x:c r="I26" s="14" t="str">
        <x:v>中</x:v>
      </x:c>
      <x:c r="J26" s="14" t="str">
        <x:v>Action追加時</x:v>
      </x:c>
      <x:c r="K26" s="14" t="str">
        <x:v>初期は通知のみ</x:v>
      </x:c>
      <x:c r="L26" s="14" t="str">
        <x:v>確認済み</x:v>
      </x:c>
      <x:c r="M26" s="14" t="str">
        <x:v>公式</x:v>
      </x:c>
    </x:row>
    <x:row r="27" ht="54" customHeight="1">
      <x:c r="A27" s="14" t="n">
        <x:v>26</x:v>
      </x:c>
      <x:c r="B27" s="14" t="str">
        <x:v>出典</x:v>
      </x:c>
      <x:c r="C27" s="14" t="str">
        <x:v>Cost Explorer料金</x:v>
      </x:c>
      <x:c r="D27" s="14" t="str">
        <x:v>AWS Cost Explorer Pricing</x:v>
      </x:c>
      <x:c r="E27" s="14" t="e">
        <x:f>HYPERLINK("https://aws.amazon.com/aws-cost-management/aws-cost-explorer/pricing/","https://aws.amazon.com/aws-cost-management/aws-cost-explorer/pricing/")</x:f>
      </x:c>
      <x:c r="F27" s="18" t="n">
        <x:v>46224</x:v>
      </x:c>
      <x:c r="G27" s="14" t="str">
        <x:v>API料金</x:v>
      </x:c>
      <x:c r="H27" s="55" t="str">
        <x:v>高</x:v>
      </x:c>
      <x:c r="I27" s="14" t="str">
        <x:v>中</x:v>
      </x:c>
      <x:c r="J27" s="14" t="str">
        <x:v>API自動集計頻度</x:v>
      </x:c>
      <x:c r="K27" s="14" t="str">
        <x:v>月次手動中心</x:v>
      </x:c>
      <x:c r="L27" s="14" t="str">
        <x:v>確認済み</x:v>
      </x:c>
      <x:c r="M27" s="14" t="str">
        <x:v>公式</x:v>
      </x:c>
    </x:row>
    <x:row r="28" ht="54" customHeight="1">
      <x:c r="A28" s="14" t="n">
        <x:v>27</x:v>
      </x:c>
      <x:c r="B28" s="14" t="str">
        <x:v>出典</x:v>
      </x:c>
      <x:c r="C28" s="14" t="str">
        <x:v>CloudTrail料金</x:v>
      </x:c>
      <x:c r="D28" s="14" t="str">
        <x:v>AWS CloudTrail Pricing</x:v>
      </x:c>
      <x:c r="E28" s="14" t="e">
        <x:f>HYPERLINK("https://aws.amazon.com/cloudtrail/pricing/","https://aws.amazon.com/cloudtrail/pricing/")</x:f>
      </x:c>
      <x:c r="F28" s="18" t="n">
        <x:v>46224</x:v>
      </x:c>
      <x:c r="G28" s="14" t="str">
        <x:v>管理イベントとData Events</x:v>
      </x:c>
      <x:c r="H28" s="55" t="str">
        <x:v>高</x:v>
      </x:c>
      <x:c r="I28" s="55" t="str">
        <x:v>高</x:v>
      </x:c>
      <x:c r="J28" s="14" t="str">
        <x:v>Data Events導入有無</x:v>
      </x:c>
      <x:c r="K28" s="14" t="str">
        <x:v>初期無効</x:v>
      </x:c>
      <x:c r="L28" s="14" t="str">
        <x:v>確認済み</x:v>
      </x:c>
      <x:c r="M28" s="14" t="str">
        <x:v>公式</x:v>
      </x:c>
    </x:row>
    <x:row r="29" ht="54" customHeight="1">
      <x:c r="A29" s="14" t="n">
        <x:v>28</x:v>
      </x:c>
      <x:c r="B29" s="14" t="str">
        <x:v>出典</x:v>
      </x:c>
      <x:c r="C29" s="14" t="str">
        <x:v>IAM Access Analyzer料金</x:v>
      </x:c>
      <x:c r="D29" s="14" t="str">
        <x:v>IAM Access Analyzer Pricing</x:v>
      </x:c>
      <x:c r="E29" s="14" t="e">
        <x:f>HYPERLINK("https://aws.amazon.com/iam/access-analyzer/pricing/","https://aws.amazon.com/iam/access-analyzer/pricing/")</x:f>
      </x:c>
      <x:c r="F29" s="18" t="n">
        <x:v>46224</x:v>
      </x:c>
      <x:c r="G29" s="14" t="str">
        <x:v>External Analyzer無料・高度機能有料</x:v>
      </x:c>
      <x:c r="H29" s="55" t="str">
        <x:v>高</x:v>
      </x:c>
      <x:c r="I29" s="14" t="str">
        <x:v>中</x:v>
      </x:c>
      <x:c r="J29" s="14" t="str">
        <x:v>Unused/Internal採用</x:v>
      </x:c>
      <x:c r="K29" s="14" t="str">
        <x:v>初期は無料機能のみ</x:v>
      </x:c>
      <x:c r="L29" s="14" t="str">
        <x:v>確認済み</x:v>
      </x:c>
      <x:c r="M29" s="14" t="str">
        <x:v>公式</x:v>
      </x:c>
    </x:row>
    <x:row r="30" ht="54" customHeight="1">
      <x:c r="A30" s="14" t="n">
        <x:v>29</x:v>
      </x:c>
      <x:c r="B30" s="14" t="str">
        <x:v>出典</x:v>
      </x:c>
      <x:c r="C30" s="14" t="str">
        <x:v>Parameter Store料金</x:v>
      </x:c>
      <x:c r="D30" s="14" t="str">
        <x:v>AWS Systems Manager Pricing</x:v>
      </x:c>
      <x:c r="E30" s="14" t="e">
        <x:f>HYPERLINK("https://aws.amazon.com/systems-manager/pricing/","https://aws.amazon.com/systems-manager/pricing/")</x:f>
      </x:c>
      <x:c r="F30" s="18" t="n">
        <x:v>46224</x:v>
      </x:c>
      <x:c r="G30" s="14" t="str">
        <x:v>Standard/Advanced Parameter料金</x:v>
      </x:c>
      <x:c r="H30" s="55" t="str">
        <x:v>高</x:v>
      </x:c>
      <x:c r="I30" s="14" t="str">
        <x:v>中</x:v>
      </x:c>
      <x:c r="J30" s="14" t="str">
        <x:v>Advanced利用有無</x:v>
      </x:c>
      <x:c r="K30" s="14" t="str">
        <x:v>Standardのみ</x:v>
      </x:c>
      <x:c r="L30" s="14" t="str">
        <x:v>確認済み</x:v>
      </x:c>
      <x:c r="M30" s="14" t="str">
        <x:v>公式</x:v>
      </x:c>
    </x:row>
    <x:row r="31" ht="54" customHeight="1">
      <x:c r="A31" s="14" t="n">
        <x:v>30</x:v>
      </x:c>
      <x:c r="B31" s="14" t="str">
        <x:v>出典</x:v>
      </x:c>
      <x:c r="C31" s="14" t="str">
        <x:v>ACM料金</x:v>
      </x:c>
      <x:c r="D31" s="14" t="str">
        <x:v>AWS Certificate Manager Pricing</x:v>
      </x:c>
      <x:c r="E31" s="14" t="e">
        <x:f>HYPERLINK("https://aws.amazon.com/certificate-manager/pricing/","https://aws.amazon.com/certificate-manager/pricing/")</x:f>
      </x:c>
      <x:c r="F31" s="18" t="n">
        <x:v>46224</x:v>
      </x:c>
      <x:c r="G31" s="14" t="str">
        <x:v>統合用非export証明書の料金</x:v>
      </x:c>
      <x:c r="H31" s="55" t="str">
        <x:v>高</x:v>
      </x:c>
      <x:c r="I31" s="14" t="str">
        <x:v>中</x:v>
      </x:c>
      <x:c r="J31" s="14" t="str">
        <x:v>独自ドメイン要否</x:v>
      </x:c>
      <x:c r="K31" s="14" t="str">
        <x:v>Route 53採用時に作成</x:v>
      </x:c>
      <x:c r="L31" s="14" t="str">
        <x:v>確認済み</x:v>
      </x:c>
      <x:c r="M31" s="14" t="str">
        <x:v>公式</x:v>
      </x:c>
    </x:row>
    <x:row r="32" ht="54" customHeight="1">
      <x:c r="A32" s="14" t="n">
        <x:v>31</x:v>
      </x:c>
      <x:c r="B32" s="14" t="str">
        <x:v>出典</x:v>
      </x:c>
      <x:c r="C32" s="14" t="str">
        <x:v>S3署名URL</x:v>
      </x:c>
      <x:c r="D32" s="14" t="str">
        <x:v>Using presigned URL</x:v>
      </x:c>
      <x:c r="E32" s="14" t="e">
        <x:f>HYPERLINK("https://docs.aws.amazon.com/AmazonS3/latest/userguide/using-presigned-url.html","https://docs.aws.amazon.com/AmazonS3/latest/userguide/using-presigned-url.html")</x:f>
      </x:c>
      <x:c r="F32" s="18" t="n">
        <x:v>46224</x:v>
      </x:c>
      <x:c r="G32" s="14" t="str">
        <x:v>Bearer Token、期限、権限</x:v>
      </x:c>
      <x:c r="H32" s="55" t="str">
        <x:v>高</x:v>
      </x:c>
      <x:c r="I32" s="14" t="str">
        <x:v>中</x:v>
      </x:c>
      <x:c r="J32" s="14" t="str">
        <x:v>期限とbucket policy条件</x:v>
      </x:c>
      <x:c r="K32" s="14" t="str">
        <x:v>5～15分で実装試験</x:v>
      </x:c>
      <x:c r="L32" s="14" t="str">
        <x:v>確認済み</x:v>
      </x:c>
      <x:c r="M32" s="14" t="str">
        <x:v>公式</x:v>
      </x:c>
    </x:row>
    <x:row r="33" ht="54" customHeight="1">
      <x:c r="A33" s="14" t="n">
        <x:v>32</x:v>
      </x:c>
      <x:c r="B33" s="14" t="str">
        <x:v>出典</x:v>
      </x:c>
      <x:c r="C33" s="14" t="str">
        <x:v>Multipart Upload</x:v>
      </x:c>
      <x:c r="D33" s="14" t="str">
        <x:v>S3 Multipart Upload overview</x:v>
      </x:c>
      <x:c r="E33" s="14" t="e">
        <x:f>HYPERLINK("https://docs.aws.amazon.com/AmazonS3/latest/userguide/mpuoverview.html","https://docs.aws.amazon.com/AmazonS3/latest/userguide/mpuoverview.html")</x:f>
      </x:c>
      <x:c r="F33" s="18" t="n">
        <x:v>46224</x:v>
      </x:c>
      <x:c r="G33" s="14" t="str">
        <x:v>大容量upload、未完了課金</x:v>
      </x:c>
      <x:c r="H33" s="55" t="str">
        <x:v>高</x:v>
      </x:c>
      <x:c r="I33" s="14" t="str">
        <x:v>低</x:v>
      </x:c>
      <x:c r="J33" s="14" t="str">
        <x:v>分割サイズ</x:v>
      </x:c>
      <x:c r="K33" s="14" t="str">
        <x:v>実ファイルで測定</x:v>
      </x:c>
      <x:c r="L33" s="109" t="str">
        <x:v>要確認</x:v>
      </x:c>
      <x:c r="M33" s="14" t="str">
        <x:v>公式</x:v>
      </x:c>
    </x:row>
    <x:row r="34" ht="54" customHeight="1">
      <x:c r="A34" s="14" t="n">
        <x:v>33</x:v>
      </x:c>
      <x:c r="B34" s="14" t="str">
        <x:v>出典</x:v>
      </x:c>
      <x:c r="C34" s="14" t="str">
        <x:v>S3イベント</x:v>
      </x:c>
      <x:c r="D34" s="14" t="str">
        <x:v>S3 Event Notifications</x:v>
      </x:c>
      <x:c r="E34" s="14" t="e">
        <x:f>HYPERLINK("https://docs.aws.amazon.com/AmazonS3/latest/userguide/notification-how-to-event-types-and-destinations.html","https://docs.aws.amazon.com/AmazonS3/latest/userguide/notification-how-to-event-types-and-destinations.html")</x:f>
      </x:c>
      <x:c r="F34" s="18" t="n">
        <x:v>46224</x:v>
      </x:c>
      <x:c r="G34" s="14" t="str">
        <x:v>SQS/Lambda連携、重複考慮</x:v>
      </x:c>
      <x:c r="H34" s="55" t="str">
        <x:v>高</x:v>
      </x:c>
      <x:c r="I34" s="14" t="str">
        <x:v>中</x:v>
      </x:c>
      <x:c r="J34" s="14" t="str">
        <x:v>prefix/suffix</x:v>
      </x:c>
      <x:c r="K34" s="14" t="str">
        <x:v>sandbox確認</x:v>
      </x:c>
      <x:c r="L34" s="14" t="str">
        <x:v>確認済み</x:v>
      </x:c>
      <x:c r="M34" s="14" t="str">
        <x:v>公式</x:v>
      </x:c>
    </x:row>
    <x:row r="35" ht="54" customHeight="1">
      <x:c r="A35" s="14" t="n">
        <x:v>34</x:v>
      </x:c>
      <x:c r="B35" s="14" t="str">
        <x:v>出典</x:v>
      </x:c>
      <x:c r="C35" s="14" t="str">
        <x:v>CloudFront OAC</x:v>
      </x:c>
      <x:c r="D35" s="14" t="str">
        <x:v>Restrict access to S3 origin</x:v>
      </x:c>
      <x:c r="E35" s="14" t="e">
        <x:f>HYPERLINK("https://docs.aws.amazon.com/AmazonCloudFront/latest/DeveloperGuide/private-content-restricting-access-to-s3.html","https://docs.aws.amazon.com/AmazonCloudFront/latest/DeveloperGuide/private-content-restricting-access-to-s3.html")</x:f>
      </x:c>
      <x:c r="F35" s="18" t="n">
        <x:v>46224</x:v>
      </x:c>
      <x:c r="G35" s="14" t="str">
        <x:v>OACでS3非公開配信</x:v>
      </x:c>
      <x:c r="H35" s="55" t="str">
        <x:v>高</x:v>
      </x:c>
      <x:c r="I35" s="14" t="str">
        <x:v>中</x:v>
      </x:c>
      <x:c r="J35" s="14" t="str">
        <x:v>Bucket policy記述</x:v>
      </x:c>
      <x:c r="K35" s="14" t="str">
        <x:v>Step 15で検証</x:v>
      </x:c>
      <x:c r="L35" s="14" t="str">
        <x:v>確認済み</x:v>
      </x:c>
      <x:c r="M35" s="14" t="str">
        <x:v>公式</x:v>
      </x:c>
    </x:row>
    <x:row r="36" ht="54" customHeight="1">
      <x:c r="A36" s="14" t="n">
        <x:v>35</x:v>
      </x:c>
      <x:c r="B36" s="14" t="str">
        <x:v>出典</x:v>
      </x:c>
      <x:c r="C36" s="14" t="str">
        <x:v>RDS IAM Auth</x:v>
      </x:c>
      <x:c r="D36" s="14" t="str">
        <x:v>IAM database authentication</x:v>
      </x:c>
      <x:c r="E36" s="14" t="e">
        <x:f>HYPERLINK("https://docs.aws.amazon.com/AmazonRDS/latest/UserGuide/UsingWithRDS.IAMDBAuth.html","https://docs.aws.amazon.com/AmazonRDS/latest/UserGuide/UsingWithRDS.IAMDBAuth.html")</x:f>
      </x:c>
      <x:c r="F36" s="18" t="n">
        <x:v>46224</x:v>
      </x:c>
      <x:c r="G36" s="14" t="str">
        <x:v>15分token、JDBC接続</x:v>
      </x:c>
      <x:c r="H36" s="55" t="str">
        <x:v>高</x:v>
      </x:c>
      <x:c r="I36" s="14" t="str">
        <x:v>中</x:v>
      </x:c>
      <x:c r="J36" s="14" t="str">
        <x:v>Java 25 JDBC Driver統合</x:v>
      </x:c>
      <x:c r="K36" s="14" t="str">
        <x:v>Step 10で検証</x:v>
      </x:c>
      <x:c r="L36" s="109" t="str">
        <x:v>要確認</x:v>
      </x:c>
      <x:c r="M36" s="14" t="str">
        <x:v>公式</x:v>
      </x:c>
    </x:row>
    <x:row r="37" ht="54" customHeight="1">
      <x:c r="A37" s="14" t="n">
        <x:v>36</x:v>
      </x:c>
      <x:c r="B37" s="14" t="str">
        <x:v>出典</x:v>
      </x:c>
      <x:c r="C37" s="14" t="str">
        <x:v>GitHub Actions OIDC</x:v>
      </x:c>
      <x:c r="D37" s="14" t="str">
        <x:v>Configuring OIDC in AWS</x:v>
      </x:c>
      <x:c r="E37" s="14" t="e">
        <x:f>HYPERLINK("https://docs.github.com/en/actions/how-tos/secure-your-work/security-harden-deployments/oidc-in-aws","https://docs.github.com/en/actions/how-tos/secure-your-work/security-harden-deployments/oidc-in-aws")</x:f>
      </x:c>
      <x:c r="F37" s="18" t="n">
        <x:v>46224</x:v>
      </x:c>
      <x:c r="G37" s="14" t="str">
        <x:v>長期AWS keyを使わないCI認証</x:v>
      </x:c>
      <x:c r="H37" s="55" t="str">
        <x:v>高</x:v>
      </x:c>
      <x:c r="I37" s="14" t="str">
        <x:v>中</x:v>
      </x:c>
      <x:c r="J37" s="14" t="str">
        <x:v>Repository/Branch条件</x:v>
      </x:c>
      <x:c r="K37" s="14" t="str">
        <x:v>CI実装時確認</x:v>
      </x:c>
      <x:c r="L37" s="14" t="str">
        <x:v>確認済み</x:v>
      </x:c>
      <x:c r="M37" s="14" t="str">
        <x:v>GitHub公式</x:v>
      </x:c>
    </x:row>
    <x:row r="38" ht="54" customHeight="1">
      <x:c r="A38" s="14" t="n">
        <x:v>101</x:v>
      </x:c>
      <x:c r="B38" s="109" t="str">
        <x:v>要確認</x:v>
      </x:c>
      <x:c r="C38" s="14" t="str">
        <x:v>音声ファイル</x:v>
      </x:c>
      <x:c r="D38" s="14" t="str"/>
      <x:c r="E38" s="14"/>
      <x:c r="F38" s="18" t="n">
        <x:v>46224</x:v>
      </x:c>
      <x:c r="G38" s="14" t="str">
        <x:v>音声1件の平均・最大サイズ</x:v>
      </x:c>
      <x:c r="H38" s="84" t="str">
        <x:v>不明</x:v>
      </x:c>
      <x:c r="I38" s="55" t="str">
        <x:v>高</x:v>
      </x:c>
      <x:c r="J38" s="14" t="str">
        <x:v>Multipart分割、S3費用、Lambda処理方式に影響</x:v>
      </x:c>
      <x:c r="K38" s="14" t="str">
        <x:v>実サンプル10件以上を測定</x:v>
      </x:c>
      <x:c r="L38" s="84" t="str">
        <x:v>未着手</x:v>
      </x:c>
      <x:c r="M38" s="14" t="str">
        <x:v>Step 12前</x:v>
      </x:c>
    </x:row>
    <x:row r="39" ht="54" customHeight="1">
      <x:c r="A39" s="14" t="n">
        <x:v>102</x:v>
      </x:c>
      <x:c r="B39" s="109" t="str">
        <x:v>要確認</x:v>
      </x:c>
      <x:c r="C39" s="14" t="str">
        <x:v>データ転送</x:v>
      </x:c>
      <x:c r="D39" s="14" t="str"/>
      <x:c r="E39" s="14"/>
      <x:c r="F39" s="18" t="n">
        <x:v>46224</x:v>
      </x:c>
      <x:c r="G39" s="14" t="str">
        <x:v>月間アップロード・ダウンロード・再生量</x:v>
      </x:c>
      <x:c r="H39" s="84" t="str">
        <x:v>不明</x:v>
      </x:c>
      <x:c r="I39" s="55" t="str">
        <x:v>高</x:v>
      </x:c>
      <x:c r="J39" s="14" t="str">
        <x:v>CloudFront/S3転送費に影響</x:v>
      </x:c>
      <x:c r="K39" s="14" t="str">
        <x:v>開発版でメトリクス収集</x:v>
      </x:c>
      <x:c r="L39" s="84" t="str">
        <x:v>未着手</x:v>
      </x:c>
      <x:c r="M39" s="14" t="str">
        <x:v>公開前</x:v>
      </x:c>
    </x:row>
    <x:row r="40" ht="54" customHeight="1">
      <x:c r="A40" s="14" t="n">
        <x:v>103</x:v>
      </x:c>
      <x:c r="B40" s="109" t="str">
        <x:v>要確認</x:v>
      </x:c>
      <x:c r="C40" s="14" t="str">
        <x:v>音声変換</x:v>
      </x:c>
      <x:c r="D40" s="14" t="str"/>
      <x:c r="E40" s="14"/>
      <x:c r="F40" s="18" t="n">
        <x:v>46224</x:v>
      </x:c>
      <x:c r="G40" s="14" t="str">
        <x:v>FFmpeg処理時間、メモリ、/tmp容量</x:v>
      </x:c>
      <x:c r="H40" s="84" t="str">
        <x:v>不明</x:v>
      </x:c>
      <x:c r="I40" s="55" t="str">
        <x:v>高</x:v>
      </x:c>
      <x:c r="J40" s="14" t="str">
        <x:v>Lambda 15分制限と費用</x:v>
      </x:c>
      <x:c r="K40" s="14" t="str">
        <x:v>複数formatのベンチマーク</x:v>
      </x:c>
      <x:c r="L40" s="84" t="str">
        <x:v>未着手</x:v>
      </x:c>
      <x:c r="M40" s="14" t="str">
        <x:v>Step 14前</x:v>
      </x:c>
    </x:row>
    <x:row r="41" ht="54" customHeight="1">
      <x:c r="A41" s="14" t="n">
        <x:v>104</x:v>
      </x:c>
      <x:c r="B41" s="109" t="str">
        <x:v>要確認</x:v>
      </x:c>
      <x:c r="C41" s="14" t="str">
        <x:v>RDS</x:v>
      </x:c>
      <x:c r="D41" s="14" t="str"/>
      <x:c r="E41" s="14"/>
      <x:c r="F41" s="18" t="n">
        <x:v>46224</x:v>
      </x:c>
      <x:c r="G41" s="14" t="str">
        <x:v>同時接続数、データ量、Query性能</x:v>
      </x:c>
      <x:c r="H41" s="84" t="str">
        <x:v>不明</x:v>
      </x:c>
      <x:c r="I41" s="55" t="str">
        <x:v>高</x:v>
      </x:c>
      <x:c r="J41" s="14" t="str">
        <x:v>Class/RDS Proxy採否</x:v>
      </x:c>
      <x:c r="K41" s="14" t="str">
        <x:v>負荷試験と接続数監視</x:v>
      </x:c>
      <x:c r="L41" s="84" t="str">
        <x:v>未着手</x:v>
      </x:c>
      <x:c r="M41" s="14" t="str">
        <x:v>Step 11前</x:v>
      </x:c>
    </x:row>
    <x:row r="42" ht="54" customHeight="1">
      <x:c r="A42" s="14" t="n">
        <x:v>105</x:v>
      </x:c>
      <x:c r="B42" s="109" t="str">
        <x:v>要確認</x:v>
      </x:c>
      <x:c r="C42" s="14" t="str">
        <x:v>Java 25</x:v>
      </x:c>
      <x:c r="D42" s="14" t="str"/>
      <x:c r="E42" s="14"/>
      <x:c r="F42" s="18" t="n">
        <x:v>46224</x:v>
      </x:c>
      <x:c r="G42" s="14" t="str">
        <x:v>Gradle、JPA、AWS JDBC、Serverless Java Containerの互換性</x:v>
      </x:c>
      <x:c r="H42" s="14" t="str">
        <x:v>中</x:v>
      </x:c>
      <x:c r="I42" s="55" t="str">
        <x:v>高</x:v>
      </x:c>
      <x:c r="J42" s="14" t="str">
        <x:v>Java 21 fallback判断</x:v>
      </x:c>
      <x:c r="K42" s="14" t="str">
        <x:v>CI matrixとsmoke Lambda</x:v>
      </x:c>
      <x:c r="L42" s="84" t="str">
        <x:v>未着手</x:v>
      </x:c>
      <x:c r="M42" s="14" t="str">
        <x:v>Step 7</x:v>
      </x:c>
    </x:row>
    <x:row r="43" ht="54" customHeight="1">
      <x:c r="A43" s="14" t="n">
        <x:v>106</x:v>
      </x:c>
      <x:c r="B43" s="109" t="str">
        <x:v>要確認</x:v>
      </x:c>
      <x:c r="C43" s="14" t="str">
        <x:v>CloudFront</x:v>
      </x:c>
      <x:c r="D43" s="14" t="str"/>
      <x:c r="E43" s="14"/>
      <x:c r="F43" s="18" t="n">
        <x:v>46224</x:v>
      </x:c>
      <x:c r="G43" s="14" t="str">
        <x:v>新定額Free planをTerraformで管理できるか</x:v>
      </x:c>
      <x:c r="H43" s="55" t="str">
        <x:v>根拠弱</x:v>
      </x:c>
      <x:c r="I43" s="55" t="str">
        <x:v>高</x:v>
      </x:c>
      <x:c r="J43" s="14" t="str">
        <x:v>WAF費用とDistribution管理</x:v>
      </x:c>
      <x:c r="K43" s="14" t="str">
        <x:v>AWS Provider公式仕様を実装時確認</x:v>
      </x:c>
      <x:c r="L43" s="47" t="str">
        <x:v>判定保留</x:v>
      </x:c>
      <x:c r="M43" s="14" t="str">
        <x:v>Step 15</x:v>
      </x:c>
    </x:row>
    <x:row r="44" ht="54" customHeight="1">
      <x:c r="A44" s="14" t="n">
        <x:v>107</x:v>
      </x:c>
      <x:c r="B44" s="109" t="str">
        <x:v>要確認</x:v>
      </x:c>
      <x:c r="C44" s="14" t="str">
        <x:v>独自ドメイン</x:v>
      </x:c>
      <x:c r="D44" s="14" t="str"/>
      <x:c r="E44" s="14"/>
      <x:c r="F44" s="18" t="n">
        <x:v>46224</x:v>
      </x:c>
      <x:c r="G44" s="14" t="str">
        <x:v>初期リリースからRoute 53/ACMを使うか</x:v>
      </x:c>
      <x:c r="H44" s="84" t="str">
        <x:v>不明</x:v>
      </x:c>
      <x:c r="I44" s="14" t="str">
        <x:v>中</x:v>
      </x:c>
      <x:c r="J44" s="14" t="str">
        <x:v>月額約80円と作業Step</x:v>
      </x:c>
      <x:c r="K44" s="14" t="str">
        <x:v>CloudFront既定domainで先行可否を決定</x:v>
      </x:c>
      <x:c r="L44" s="84" t="str">
        <x:v>未着手</x:v>
      </x:c>
      <x:c r="M44" s="14" t="str">
        <x:v>Step 16前</x:v>
      </x:c>
    </x:row>
    <x:row r="45" ht="54" customHeight="1">
      <x:c r="A45" s="14" t="n">
        <x:v>108</x:v>
      </x:c>
      <x:c r="B45" s="109" t="str">
        <x:v>要確認</x:v>
      </x:c>
      <x:c r="C45" s="14" t="str">
        <x:v>料金</x:v>
      </x:c>
      <x:c r="D45" s="14" t="str"/>
      <x:c r="E45" s="14"/>
      <x:c r="F45" s="18" t="n">
        <x:v>46224</x:v>
      </x:c>
      <x:c r="G45" s="14" t="str">
        <x:v>RDS・S3・CloudWatchの東京リージョン最新単価</x:v>
      </x:c>
      <x:c r="H45" s="14" t="str">
        <x:v>中</x:v>
      </x:c>
      <x:c r="I45" s="55" t="str">
        <x:v>高</x:v>
      </x:c>
      <x:c r="J45" s="14" t="str">
        <x:v>月額合計</x:v>
      </x:c>
      <x:c r="K45" s="14" t="str">
        <x:v>Pricing Calculatorで再計算</x:v>
      </x:c>
      <x:c r="L45" s="84" t="str">
        <x:v>未着手</x:v>
      </x:c>
      <x:c r="M45" s="14" t="str">
        <x:v>実装直前</x:v>
      </x:c>
    </x:row>
    <x:row r="46" ht="54" customHeight="1">
      <x:c r="A46" s="14" t="n">
        <x:v>109</x:v>
      </x:c>
      <x:c r="B46" s="109" t="str">
        <x:v>要確認</x:v>
      </x:c>
      <x:c r="C46" s="14" t="str">
        <x:v>Cognito</x:v>
      </x:c>
      <x:c r="D46" s="14" t="str"/>
      <x:c r="E46" s="14"/>
      <x:c r="F46" s="18" t="n">
        <x:v>46224</x:v>
      </x:c>
      <x:c r="G46" s="14" t="str">
        <x:v>MFAを初期必須にするか</x:v>
      </x:c>
      <x:c r="H46" s="84" t="str">
        <x:v>不明</x:v>
      </x:c>
      <x:c r="I46" s="14" t="str">
        <x:v>中</x:v>
      </x:c>
      <x:c r="J46" s="14" t="str">
        <x:v>SMS費用・UX・セキュリティ</x:v>
      </x:c>
      <x:c r="K46" s="14" t="str">
        <x:v>TOTP optionalから開始する案を承認</x:v>
      </x:c>
      <x:c r="L46" s="84" t="str">
        <x:v>未着手</x:v>
      </x:c>
      <x:c r="M46" s="14" t="str">
        <x:v>認証設計時</x:v>
      </x:c>
    </x:row>
    <x:row r="47" ht="54" customHeight="1">
      <x:c r="A47" s="14" t="n">
        <x:v>110</x:v>
      </x:c>
      <x:c r="B47" s="109" t="str">
        <x:v>要確認</x:v>
      </x:c>
      <x:c r="C47" s="14" t="str">
        <x:v>RTO/RPO</x:v>
      </x:c>
      <x:c r="D47" s="14" t="str"/>
      <x:c r="E47" s="14"/>
      <x:c r="F47" s="18" t="n">
        <x:v>46224</x:v>
      </x:c>
      <x:c r="G47" s="14" t="str">
        <x:v>開発環境のRTO/RPO各24時間仮定</x:v>
      </x:c>
      <x:c r="H47" s="39" t="str">
        <x:v>仮定</x:v>
      </x:c>
      <x:c r="I47" s="14" t="str">
        <x:v>中</x:v>
      </x:c>
      <x:c r="J47" s="14" t="str">
        <x:v>backup保持と復旧手順</x:v>
      </x:c>
      <x:c r="K47" s="14" t="str">
        <x:v>利用者と合意</x:v>
      </x:c>
      <x:c r="L47" s="84" t="str">
        <x:v>未着手</x:v>
      </x:c>
      <x:c r="M47" s="14" t="str">
        <x:v>運用開始前</x:v>
      </x:c>
    </x:row>
    <x:row r="48" ht="54" customHeight="1">
      <x:c r="A48" s="14" t="n">
        <x:v>111</x:v>
      </x:c>
      <x:c r="B48" s="109" t="str">
        <x:v>要確認</x:v>
      </x:c>
      <x:c r="C48" s="14" t="str">
        <x:v>RDS初期化</x:v>
      </x:c>
      <x:c r="D48" s="14" t="str"/>
      <x:c r="E48" s="14"/>
      <x:c r="F48" s="18" t="n">
        <x:v>46224</x:v>
      </x:c>
      <x:c r="G48" s="14" t="str">
        <x:v>IAM認証DBユーザー作成の一時migration方式</x:v>
      </x:c>
      <x:c r="H48" s="14" t="str">
        <x:v>中</x:v>
      </x:c>
      <x:c r="I48" s="14" t="str">
        <x:v>中</x:v>
      </x:c>
      <x:c r="J48" s="14" t="str">
        <x:v>Secrets Manager Endpointの一時費用と手順</x:v>
      </x:c>
      <x:c r="K48" s="14" t="str">
        <x:v>sandboxでmigration Lambdaを検証</x:v>
      </x:c>
      <x:c r="L48" s="84" t="str">
        <x:v>未着手</x:v>
      </x:c>
      <x:c r="M48" s="14" t="str">
        <x:v>Step 10</x:v>
      </x:c>
    </x:row>
    <x:row r="49" ht="54" customHeight="1">
      <x:c r="A49" s="14" t="n">
        <x:v>112</x:v>
      </x:c>
      <x:c r="B49" s="109" t="str">
        <x:v>要確認</x:v>
      </x:c>
      <x:c r="C49" s="14" t="str">
        <x:v>リアルタイム共同編集</x:v>
      </x:c>
      <x:c r="D49" s="14" t="str"/>
      <x:c r="E49" s="14"/>
      <x:c r="F49" s="18" t="n">
        <x:v>46224</x:v>
      </x:c>
      <x:c r="G49" s="14" t="str">
        <x:v>将来のWebSocket/競合解決方式</x:v>
      </x:c>
      <x:c r="H49" s="84" t="str">
        <x:v>不明</x:v>
      </x:c>
      <x:c r="I49" s="14" t="str">
        <x:v>中</x:v>
      </x:c>
      <x:c r="J49" s="14" t="str">
        <x:v>追加サービスとデータモデル</x:v>
      </x:c>
      <x:c r="K49" s="14" t="str">
        <x:v>初期対象外として設計余白のみ確保</x:v>
      </x:c>
      <x:c r="L49" s="47" t="str">
        <x:v>保留</x:v>
      </x:c>
      <x:c r="M49" s="14" t="str">
        <x:v>将来</x:v>
      </x:c>
    </x:row>
    <x:row r="50" ht="54" customHeight="1">
      <x:c r="A50" s="14" t="n">
        <x:v>113</x:v>
      </x:c>
      <x:c r="B50" s="109" t="str">
        <x:v>要確認</x:v>
      </x:c>
      <x:c r="C50" s="14" t="str">
        <x:v>ログ量</x:v>
      </x:c>
      <x:c r="D50" s="14" t="str"/>
      <x:c r="E50" s="14"/>
      <x:c r="F50" s="18" t="n">
        <x:v>46224</x:v>
      </x:c>
      <x:c r="G50" s="14" t="str">
        <x:v>標準2GB/月の仮定</x:v>
      </x:c>
      <x:c r="H50" s="39" t="str">
        <x:v>仮定</x:v>
      </x:c>
      <x:c r="I50" s="55" t="str">
        <x:v>高</x:v>
      </x:c>
      <x:c r="J50" s="14" t="str">
        <x:v>CloudWatch費用</x:v>
      </x:c>
      <x:c r="K50" s="14" t="str">
        <x:v>開発1か月後に実測更新</x:v>
      </x:c>
      <x:c r="L50" s="84" t="str">
        <x:v>未着手</x:v>
      </x:c>
      <x:c r="M50" s="14" t="str">
        <x:v>運用1か月後</x:v>
      </x:c>
    </x:row>
    <x:row r="51" ht="54" customHeight="1">
      <x:c r="A51" s="14" t="n">
        <x:v>114</x:v>
      </x:c>
      <x:c r="B51" s="109" t="str">
        <x:v>要確認</x:v>
      </x:c>
      <x:c r="C51" s="14" t="str">
        <x:v>RDS稼働時間</x:v>
      </x:c>
      <x:c r="D51" s="14" t="str"/>
      <x:c r="E51" s="14"/>
      <x:c r="F51" s="18" t="n">
        <x:v>46224</x:v>
      </x:c>
      <x:c r="G51" s="14" t="str">
        <x:v>標準100時間/月の運用実現性</x:v>
      </x:c>
      <x:c r="H51" s="39" t="str">
        <x:v>仮定</x:v>
      </x:c>
      <x:c r="I51" s="55" t="str">
        <x:v>高</x:v>
      </x:c>
      <x:c r="J51" s="14" t="str">
        <x:v>約3千円の追加リスク</x:v>
      </x:c>
      <x:c r="K51" s="14" t="str">
        <x:v>SchedulerとBudgetで検証</x:v>
      </x:c>
      <x:c r="L51" s="84" t="str">
        <x:v>未着手</x:v>
      </x:c>
      <x:c r="M51" s="14" t="str">
        <x:v>Step 17</x:v>
      </x:c>
    </x:row>
    <x:row r="52" ht="54" customHeight="1">
      <x:c r="A52" s="14" t="n">
        <x:v>115</x:v>
      </x:c>
      <x:c r="B52" s="109" t="str">
        <x:v>要確認</x:v>
      </x:c>
      <x:c r="C52" s="14" t="str">
        <x:v>S3削除</x:v>
      </x:c>
      <x:c r="D52" s="14" t="str"/>
      <x:c r="E52" s="14"/>
      <x:c r="F52" s="18" t="n">
        <x:v>46224</x:v>
      </x:c>
      <x:c r="G52" s="14" t="str">
        <x:v>version保持期間と誤削除復旧方針</x:v>
      </x:c>
      <x:c r="H52" s="84" t="str">
        <x:v>不明</x:v>
      </x:c>
      <x:c r="I52" s="14" t="str">
        <x:v>中</x:v>
      </x:c>
      <x:c r="J52" s="14" t="str">
        <x:v>残存課金とRPO</x:v>
      </x:c>
      <x:c r="K52" s="14" t="str">
        <x:v>開発データの保持要件を決定</x:v>
      </x:c>
      <x:c r="L52" s="84" t="str">
        <x:v>未着手</x:v>
      </x:c>
      <x:c r="M52" s="14" t="str">
        <x:v>運用開始前</x:v>
      </x:c>
    </x:row>
    <x:row r="53" ht="54" customHeight="1">
      <x:c r="A53" s="14" t="n">
        <x:v>116</x:v>
      </x:c>
      <x:c r="B53" s="47" t="str">
        <x:v>判定保留</x:v>
      </x:c>
      <x:c r="C53" s="14" t="str">
        <x:v>AWS WAF</x:v>
      </x:c>
      <x:c r="D53" s="14" t="str"/>
      <x:c r="E53" s="14"/>
      <x:c r="F53" s="18" t="n">
        <x:v>46224</x:v>
      </x:c>
      <x:c r="G53" s="14" t="str">
        <x:v>初期常設しない判断</x:v>
      </x:c>
      <x:c r="H53" s="14" t="str">
        <x:v>中</x:v>
      </x:c>
      <x:c r="I53" s="55" t="str">
        <x:v>高</x:v>
      </x:c>
      <x:c r="J53" s="14" t="str">
        <x:v>公開後の攻撃・費用</x:v>
      </x:c>
      <x:c r="K53" s="14" t="str">
        <x:v>API throttle/concurrencyで開始し実績で判断</x:v>
      </x:c>
      <x:c r="L53" s="47" t="str">
        <x:v>保留</x:v>
      </x:c>
      <x:c r="M53" s="14" t="str">
        <x:v>公開後</x:v>
      </x:c>
    </x:row>
    <x:row r="54" ht="54" customHeight="1">
      <x:c r="A54" s="14" t="n">
        <x:v>117</x:v>
      </x:c>
      <x:c r="B54" s="47" t="str">
        <x:v>判定保留</x:v>
      </x:c>
      <x:c r="C54" s="14" t="str">
        <x:v>RDS Proxy</x:v>
      </x:c>
      <x:c r="D54" s="14" t="str"/>
      <x:c r="E54" s="14"/>
      <x:c r="F54" s="18" t="n">
        <x:v>46224</x:v>
      </x:c>
      <x:c r="G54" s="14" t="str">
        <x:v>初期不採用</x:v>
      </x:c>
      <x:c r="H54" s="14" t="str">
        <x:v>中</x:v>
      </x:c>
      <x:c r="I54" s="14" t="str">
        <x:v>中</x:v>
      </x:c>
      <x:c r="J54" s="14" t="str">
        <x:v>DB接続枯渇と固定費</x:v>
      </x:c>
      <x:c r="K54" s="14" t="str">
        <x:v>接続数閾値超過で導入</x:v>
      </x:c>
      <x:c r="L54" s="47" t="str">
        <x:v>保留</x:v>
      </x:c>
      <x:c r="M54" s="14" t="str">
        <x:v>負荷試験後</x:v>
      </x:c>
    </x:row>
    <x:row r="55" ht="54" customHeight="1">
      <x:c r="A55" s="14" t="n">
        <x:v>118</x:v>
      </x:c>
      <x:c r="B55" s="47" t="str">
        <x:v>判定保留</x:v>
      </x:c>
      <x:c r="C55" s="14" t="str">
        <x:v>AWS Backup</x:v>
      </x:c>
      <x:c r="D55" s="14" t="str"/>
      <x:c r="E55" s="14"/>
      <x:c r="F55" s="18" t="n">
        <x:v>46224</x:v>
      </x:c>
      <x:c r="G55" s="14" t="str">
        <x:v>初期不採用、sandbox検証</x:v>
      </x:c>
      <x:c r="H55" s="14" t="str">
        <x:v>中</x:v>
      </x:c>
      <x:c r="I55" s="14" t="str">
        <x:v>中</x:v>
      </x:c>
      <x:c r="J55" s="14" t="str">
        <x:v>一元backupと追加費用</x:v>
      </x:c>
      <x:c r="K55" s="14" t="str">
        <x:v>RDS/S3標準機能で開始</x:v>
      </x:c>
      <x:c r="L55" s="47" t="str">
        <x:v>保留</x:v>
      </x:c>
      <x:c r="M55" s="14" t="str">
        <x:v>本番前</x:v>
      </x:c>
    </x:row>
    <x:row r="56" ht="54" customHeight="1">
      <x:c r="A56" s="14" t="n">
        <x:v>119</x:v>
      </x:c>
      <x:c r="B56" s="109" t="str">
        <x:v>要確認</x:v>
      </x:c>
      <x:c r="C56" s="14" t="str">
        <x:v>担当</x:v>
      </x:c>
      <x:c r="D56" s="14" t="str"/>
      <x:c r="E56" s="14"/>
      <x:c r="F56" s="18" t="n">
        <x:v>46224</x:v>
      </x:c>
      <x:c r="G56" s="14" t="str">
        <x:v>セキュリティ・運用の実担当者</x:v>
      </x:c>
      <x:c r="H56" s="84" t="str">
        <x:v>不明</x:v>
      </x:c>
      <x:c r="I56" s="14" t="str">
        <x:v>中</x:v>
      </x:c>
      <x:c r="J56" s="14" t="str">
        <x:v>Alarm未対応・backup未確認</x:v>
      </x:c>
      <x:c r="K56" s="14" t="str">
        <x:v>アプリ/インフラ担当を指名</x:v>
      </x:c>
      <x:c r="L56" s="84" t="str">
        <x:v>未着手</x:v>
      </x:c>
      <x:c r="M56" s="14" t="str">
        <x:v>運用開始前</x:v>
      </x:c>
    </x:row>
    <x:row r="57" ht="54" customHeight="1">
      <x:c r="A57" s="14" t="n">
        <x:v>120</x:v>
      </x:c>
      <x:c r="B57" s="109" t="str">
        <x:v>要確認</x:v>
      </x:c>
      <x:c r="C57" s="14" t="str">
        <x:v>CI</x:v>
      </x:c>
      <x:c r="D57" s="14" t="str"/>
      <x:c r="E57" s="14"/>
      <x:c r="F57" s="18" t="n">
        <x:v>46224</x:v>
      </x:c>
      <x:c r="G57" s="14" t="str">
        <x:v>GitHub Actions OIDCのRepository/Branch条件</x:v>
      </x:c>
      <x:c r="H57" s="84" t="str">
        <x:v>不明</x:v>
      </x:c>
      <x:c r="I57" s="14" t="str">
        <x:v>中</x:v>
      </x:c>
      <x:c r="J57" s="14" t="str">
        <x:v>誤deploy・権限過多</x:v>
      </x:c>
      <x:c r="K57" s="14" t="str">
        <x:v>Environment保護とIAM trustを設計</x:v>
      </x:c>
      <x:c r="L57" s="84" t="str">
        <x:v>未着手</x:v>
      </x:c>
      <x:c r="M57" s="14" t="str">
        <x:v>CI導入時</x:v>
      </x:c>
    </x:row>
  </x:sheetData>
  <x:pageMargins left="0.7" right="0.7" top="0.75" bottom="0.75" header="0.3" footer="0.3"/>
  <x:tableParts count="1">
    <x:tablePart xmlns:r="http://schemas.openxmlformats.org/officeDocument/2006/relationships" r:id="Ra2e2e0dc200547a1"/>
  </x:tableParts>
</x:worksheet>
</file>